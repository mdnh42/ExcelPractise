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QC\OneDrive\Desktop\"/>
    </mc:Choice>
  </mc:AlternateContent>
  <xr:revisionPtr revIDLastSave="0" documentId="13_ncr:1_{49C90445-60E2-42B9-9549-5589ACDA805B}" xr6:coauthVersionLast="47" xr6:coauthVersionMax="47" xr10:uidLastSave="{00000000-0000-0000-0000-000000000000}"/>
  <bookViews>
    <workbookView xWindow="-120" yWindow="-120" windowWidth="20730" windowHeight="11160" firstSheet="3" activeTab="4" xr2:uid="{00000000-000D-0000-FFFF-FFFF00000000}"/>
  </bookViews>
  <sheets>
    <sheet name="Employee Payroll" sheetId="1" r:id="rId1"/>
    <sheet name="Gradebook" sheetId="2" r:id="rId2"/>
    <sheet name="Dicision Factors" sheetId="3" r:id="rId3"/>
    <sheet name="Sales Database" sheetId="4" r:id="rId4"/>
    <sheet name="Car Inventory" sheetId="5" r:id="rId5"/>
    <sheet name="Problem Solving Templates" sheetId="6" r:id="rId6"/>
  </sheets>
  <definedNames>
    <definedName name="_xlnm._FilterDatabase" localSheetId="3" hidden="1">'Sales Database'!$A$2:$I$22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4" i="5" l="1"/>
  <c r="B15" i="5"/>
  <c r="B13" i="5"/>
  <c r="B11" i="5"/>
  <c r="F26" i="4"/>
  <c r="F25" i="4"/>
  <c r="F24" i="4"/>
  <c r="H6" i="4"/>
  <c r="H7" i="4"/>
  <c r="H2" i="4"/>
  <c r="G3" i="4"/>
  <c r="H3" i="4" s="1"/>
  <c r="G18" i="4"/>
  <c r="H18" i="4" s="1"/>
  <c r="G8" i="4"/>
  <c r="H8" i="4" s="1"/>
  <c r="G13" i="4"/>
  <c r="H13" i="4" s="1"/>
  <c r="G4" i="4"/>
  <c r="H4" i="4" s="1"/>
  <c r="G19" i="4"/>
  <c r="H19" i="4" s="1"/>
  <c r="G9" i="4"/>
  <c r="H9" i="4" s="1"/>
  <c r="G14" i="4"/>
  <c r="H14" i="4" s="1"/>
  <c r="G5" i="4"/>
  <c r="H5" i="4" s="1"/>
  <c r="G20" i="4"/>
  <c r="H20" i="4" s="1"/>
  <c r="G10" i="4"/>
  <c r="H10" i="4" s="1"/>
  <c r="G15" i="4"/>
  <c r="H15" i="4" s="1"/>
  <c r="G6" i="4"/>
  <c r="G21" i="4"/>
  <c r="H21" i="4" s="1"/>
  <c r="G11" i="4"/>
  <c r="H11" i="4" s="1"/>
  <c r="G16" i="4"/>
  <c r="H16" i="4" s="1"/>
  <c r="G7" i="4"/>
  <c r="G22" i="4"/>
  <c r="H22" i="4" s="1"/>
  <c r="G12" i="4"/>
  <c r="H12" i="4" s="1"/>
  <c r="G17" i="4"/>
  <c r="H17" i="4" s="1"/>
  <c r="G2" i="4"/>
  <c r="C6" i="3" l="1"/>
  <c r="L7" i="3"/>
  <c r="L8" i="3"/>
  <c r="L9" i="3"/>
  <c r="L10" i="3"/>
  <c r="L6" i="3"/>
  <c r="K10" i="3"/>
  <c r="K9" i="3"/>
  <c r="K8" i="3"/>
  <c r="K7" i="3"/>
  <c r="K6" i="3"/>
  <c r="I10" i="3"/>
  <c r="I9" i="3"/>
  <c r="I8" i="3"/>
  <c r="I7" i="3"/>
  <c r="I6" i="3"/>
  <c r="G10" i="3"/>
  <c r="G9" i="3"/>
  <c r="G8" i="3"/>
  <c r="G7" i="3"/>
  <c r="G6" i="3"/>
  <c r="E10" i="3"/>
  <c r="E9" i="3"/>
  <c r="E8" i="3"/>
  <c r="E7" i="3"/>
  <c r="E6" i="3"/>
  <c r="C7" i="3"/>
  <c r="C8" i="3"/>
  <c r="C9" i="3"/>
  <c r="C10" i="3"/>
  <c r="K20" i="2"/>
  <c r="J20" i="2"/>
  <c r="I20" i="2"/>
  <c r="H20" i="2"/>
  <c r="K19" i="2"/>
  <c r="J19" i="2"/>
  <c r="I19" i="2"/>
  <c r="H19" i="2"/>
  <c r="K18" i="2"/>
  <c r="J18" i="2"/>
  <c r="I18" i="2"/>
  <c r="H18" i="2"/>
  <c r="D18" i="2"/>
  <c r="E18" i="2"/>
  <c r="F18" i="2"/>
  <c r="D19" i="2"/>
  <c r="E19" i="2"/>
  <c r="F19" i="2"/>
  <c r="D20" i="2"/>
  <c r="E20" i="2"/>
  <c r="F20" i="2"/>
  <c r="C20" i="2"/>
  <c r="C19" i="2"/>
  <c r="C18" i="2"/>
  <c r="M5" i="2"/>
  <c r="M6" i="2"/>
  <c r="M7" i="2"/>
  <c r="M8" i="2"/>
  <c r="M9" i="2"/>
  <c r="M10" i="2"/>
  <c r="M11" i="2"/>
  <c r="M12" i="2"/>
  <c r="M13" i="2"/>
  <c r="M14" i="2"/>
  <c r="M15" i="2"/>
  <c r="M4" i="2"/>
  <c r="J8" i="2"/>
  <c r="H5" i="2"/>
  <c r="I5" i="2"/>
  <c r="J5" i="2"/>
  <c r="K5" i="2"/>
  <c r="H6" i="2"/>
  <c r="I6" i="2"/>
  <c r="J6" i="2"/>
  <c r="K6" i="2"/>
  <c r="H7" i="2"/>
  <c r="I7" i="2"/>
  <c r="J7" i="2"/>
  <c r="K7" i="2"/>
  <c r="H8" i="2"/>
  <c r="I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K4" i="2"/>
  <c r="I4" i="2"/>
  <c r="J4" i="2"/>
  <c r="H4" i="2"/>
  <c r="F22" i="1"/>
  <c r="X19" i="1"/>
  <c r="Y19" i="1"/>
  <c r="Z19" i="1"/>
  <c r="AA19" i="1"/>
  <c r="AB19" i="1"/>
  <c r="AC19" i="1"/>
  <c r="X20" i="1"/>
  <c r="Y20" i="1"/>
  <c r="Z20" i="1"/>
  <c r="AA20" i="1"/>
  <c r="AB20" i="1"/>
  <c r="AC20" i="1"/>
  <c r="X21" i="1"/>
  <c r="Y21" i="1"/>
  <c r="Z21" i="1"/>
  <c r="AA21" i="1"/>
  <c r="AB21" i="1"/>
  <c r="AC21" i="1"/>
  <c r="X22" i="1"/>
  <c r="Y22" i="1"/>
  <c r="Z22" i="1"/>
  <c r="AA22" i="1"/>
  <c r="AB22" i="1"/>
  <c r="AC22" i="1"/>
  <c r="AC6" i="1"/>
  <c r="AC7" i="1"/>
  <c r="AC8" i="1"/>
  <c r="AC9" i="1"/>
  <c r="AC10" i="1"/>
  <c r="AC11" i="1"/>
  <c r="AC12" i="1"/>
  <c r="AC13" i="1"/>
  <c r="AC14" i="1"/>
  <c r="AC15" i="1"/>
  <c r="AC16" i="1"/>
  <c r="AC5" i="1"/>
  <c r="AB8" i="1"/>
  <c r="AA8" i="1"/>
  <c r="Z6" i="1"/>
  <c r="AA6" i="1"/>
  <c r="AB6" i="1"/>
  <c r="Z7" i="1"/>
  <c r="AA7" i="1"/>
  <c r="AB7" i="1"/>
  <c r="Z8" i="1"/>
  <c r="Z9" i="1"/>
  <c r="AA9" i="1"/>
  <c r="AB9" i="1"/>
  <c r="Z10" i="1"/>
  <c r="AA10" i="1"/>
  <c r="AB10" i="1"/>
  <c r="Z11" i="1"/>
  <c r="AA11" i="1"/>
  <c r="AB11" i="1"/>
  <c r="Z12" i="1"/>
  <c r="AA12" i="1"/>
  <c r="AB12" i="1"/>
  <c r="Z13" i="1"/>
  <c r="AA13" i="1"/>
  <c r="AB13" i="1"/>
  <c r="Z14" i="1"/>
  <c r="AA14" i="1"/>
  <c r="AB14" i="1"/>
  <c r="Z15" i="1"/>
  <c r="AA15" i="1"/>
  <c r="AB15" i="1"/>
  <c r="Z16" i="1"/>
  <c r="AA16" i="1"/>
  <c r="AB16" i="1"/>
  <c r="AB5" i="1"/>
  <c r="AA5" i="1"/>
  <c r="Z5" i="1"/>
  <c r="X16" i="1"/>
  <c r="Y6" i="1"/>
  <c r="Y7" i="1"/>
  <c r="Y8" i="1"/>
  <c r="Y9" i="1"/>
  <c r="Y10" i="1"/>
  <c r="Y11" i="1"/>
  <c r="Y12" i="1"/>
  <c r="Y13" i="1"/>
  <c r="Y14" i="1"/>
  <c r="Y15" i="1"/>
  <c r="Y16" i="1"/>
  <c r="Y5" i="1"/>
  <c r="X6" i="1"/>
  <c r="X7" i="1"/>
  <c r="X8" i="1"/>
  <c r="X9" i="1"/>
  <c r="X10" i="1"/>
  <c r="X11" i="1"/>
  <c r="X12" i="1"/>
  <c r="X13" i="1"/>
  <c r="X14" i="1"/>
  <c r="X15" i="1"/>
  <c r="X5" i="1"/>
  <c r="Z4" i="1"/>
  <c r="AA4" i="1"/>
  <c r="AB4" i="1"/>
  <c r="Y4" i="1"/>
  <c r="D22" i="1"/>
  <c r="E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C22" i="1"/>
  <c r="S19" i="1"/>
  <c r="T19" i="1"/>
  <c r="U19" i="1"/>
  <c r="V19" i="1"/>
  <c r="W19" i="1"/>
  <c r="S20" i="1"/>
  <c r="T20" i="1"/>
  <c r="U20" i="1"/>
  <c r="V20" i="1"/>
  <c r="W20" i="1"/>
  <c r="S21" i="1"/>
  <c r="T21" i="1"/>
  <c r="U21" i="1"/>
  <c r="V21" i="1"/>
  <c r="W21" i="1"/>
  <c r="V6" i="1"/>
  <c r="U7" i="1"/>
  <c r="T8" i="1"/>
  <c r="S9" i="1"/>
  <c r="V10" i="1"/>
  <c r="U11" i="1"/>
  <c r="T12" i="1"/>
  <c r="S13" i="1"/>
  <c r="V14" i="1"/>
  <c r="U15" i="1"/>
  <c r="T16" i="1"/>
  <c r="S5" i="1"/>
  <c r="T4" i="1"/>
  <c r="U4" i="1" s="1"/>
  <c r="V4" i="1" s="1"/>
  <c r="W4" i="1" s="1"/>
  <c r="R5" i="1"/>
  <c r="Q5" i="1"/>
  <c r="P5" i="1"/>
  <c r="O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N6" i="1"/>
  <c r="N7" i="1"/>
  <c r="N8" i="1"/>
  <c r="N9" i="1"/>
  <c r="N10" i="1"/>
  <c r="N11" i="1"/>
  <c r="N12" i="1"/>
  <c r="N13" i="1"/>
  <c r="N14" i="1"/>
  <c r="N15" i="1"/>
  <c r="N16" i="1"/>
  <c r="N5" i="1"/>
  <c r="P21" i="1"/>
  <c r="O4" i="1"/>
  <c r="P4" i="1" s="1"/>
  <c r="Q4" i="1" s="1"/>
  <c r="R4" i="1" s="1"/>
  <c r="M5" i="1"/>
  <c r="W5" i="1" s="1"/>
  <c r="M6" i="1"/>
  <c r="W6" i="1" s="1"/>
  <c r="M7" i="1"/>
  <c r="W7" i="1" s="1"/>
  <c r="M8" i="1"/>
  <c r="W8" i="1" s="1"/>
  <c r="M9" i="1"/>
  <c r="W9" i="1" s="1"/>
  <c r="M10" i="1"/>
  <c r="W10" i="1" s="1"/>
  <c r="M11" i="1"/>
  <c r="W11" i="1" s="1"/>
  <c r="M12" i="1"/>
  <c r="W12" i="1" s="1"/>
  <c r="M13" i="1"/>
  <c r="W13" i="1" s="1"/>
  <c r="M14" i="1"/>
  <c r="W14" i="1" s="1"/>
  <c r="M15" i="1"/>
  <c r="W15" i="1" s="1"/>
  <c r="M16" i="1"/>
  <c r="W16" i="1" s="1"/>
  <c r="J4" i="1"/>
  <c r="K4" i="1" s="1"/>
  <c r="L4" i="1" s="1"/>
  <c r="M4" i="1" s="1"/>
  <c r="L5" i="1"/>
  <c r="V5" i="1" s="1"/>
  <c r="E4" i="1"/>
  <c r="K5" i="1"/>
  <c r="U5" i="1" s="1"/>
  <c r="J5" i="1"/>
  <c r="T5" i="1" s="1"/>
  <c r="J6" i="1"/>
  <c r="T6" i="1" s="1"/>
  <c r="K6" i="1"/>
  <c r="U6" i="1" s="1"/>
  <c r="L6" i="1"/>
  <c r="J7" i="1"/>
  <c r="T7" i="1" s="1"/>
  <c r="K7" i="1"/>
  <c r="L7" i="1"/>
  <c r="V7" i="1" s="1"/>
  <c r="J8" i="1"/>
  <c r="K8" i="1"/>
  <c r="U8" i="1" s="1"/>
  <c r="L8" i="1"/>
  <c r="V8" i="1" s="1"/>
  <c r="J9" i="1"/>
  <c r="T9" i="1" s="1"/>
  <c r="K9" i="1"/>
  <c r="U9" i="1" s="1"/>
  <c r="L9" i="1"/>
  <c r="V9" i="1" s="1"/>
  <c r="J10" i="1"/>
  <c r="T10" i="1" s="1"/>
  <c r="K10" i="1"/>
  <c r="U10" i="1" s="1"/>
  <c r="L10" i="1"/>
  <c r="J11" i="1"/>
  <c r="T11" i="1" s="1"/>
  <c r="K11" i="1"/>
  <c r="L11" i="1"/>
  <c r="V11" i="1" s="1"/>
  <c r="J12" i="1"/>
  <c r="K12" i="1"/>
  <c r="U12" i="1" s="1"/>
  <c r="L12" i="1"/>
  <c r="V12" i="1" s="1"/>
  <c r="J13" i="1"/>
  <c r="T13" i="1" s="1"/>
  <c r="K13" i="1"/>
  <c r="U13" i="1" s="1"/>
  <c r="L13" i="1"/>
  <c r="V13" i="1" s="1"/>
  <c r="J14" i="1"/>
  <c r="T14" i="1" s="1"/>
  <c r="K14" i="1"/>
  <c r="U14" i="1" s="1"/>
  <c r="L14" i="1"/>
  <c r="J15" i="1"/>
  <c r="T15" i="1" s="1"/>
  <c r="K15" i="1"/>
  <c r="L15" i="1"/>
  <c r="V15" i="1" s="1"/>
  <c r="J16" i="1"/>
  <c r="K16" i="1"/>
  <c r="U16" i="1" s="1"/>
  <c r="L16" i="1"/>
  <c r="V16" i="1" s="1"/>
  <c r="I6" i="1"/>
  <c r="S6" i="1" s="1"/>
  <c r="I7" i="1"/>
  <c r="S7" i="1" s="1"/>
  <c r="I8" i="1"/>
  <c r="S8" i="1" s="1"/>
  <c r="I9" i="1"/>
  <c r="I10" i="1"/>
  <c r="S10" i="1" s="1"/>
  <c r="I11" i="1"/>
  <c r="S11" i="1" s="1"/>
  <c r="I12" i="1"/>
  <c r="S12" i="1" s="1"/>
  <c r="I13" i="1"/>
  <c r="I14" i="1"/>
  <c r="S14" i="1" s="1"/>
  <c r="I15" i="1"/>
  <c r="S15" i="1" s="1"/>
  <c r="I16" i="1"/>
  <c r="S16" i="1" s="1"/>
  <c r="I5" i="1"/>
  <c r="E19" i="1"/>
  <c r="F19" i="1"/>
  <c r="G19" i="1"/>
  <c r="H19" i="1"/>
  <c r="E20" i="1"/>
  <c r="F20" i="1"/>
  <c r="G20" i="1"/>
  <c r="H20" i="1"/>
  <c r="E21" i="1"/>
  <c r="F21" i="1"/>
  <c r="G21" i="1"/>
  <c r="H21" i="1"/>
  <c r="C19" i="1"/>
  <c r="D21" i="1"/>
  <c r="D20" i="1"/>
  <c r="D19" i="1"/>
  <c r="C21" i="1"/>
  <c r="C20" i="1"/>
  <c r="Q20" i="1" l="1"/>
  <c r="R19" i="1"/>
  <c r="N19" i="1"/>
  <c r="P20" i="1"/>
  <c r="N21" i="1"/>
  <c r="P19" i="1"/>
  <c r="Q21" i="1"/>
  <c r="R20" i="1"/>
  <c r="N20" i="1"/>
  <c r="O19" i="1"/>
  <c r="O21" i="1"/>
  <c r="Q19" i="1"/>
  <c r="R21" i="1"/>
  <c r="O20" i="1"/>
  <c r="L19" i="1"/>
  <c r="I19" i="1"/>
  <c r="L21" i="1"/>
  <c r="K19" i="1"/>
  <c r="J19" i="1"/>
  <c r="L20" i="1"/>
  <c r="F4" i="1"/>
  <c r="K21" i="1"/>
  <c r="K20" i="1"/>
  <c r="J21" i="1"/>
  <c r="J20" i="1"/>
  <c r="I21" i="1"/>
  <c r="I20" i="1"/>
  <c r="G4" i="1" l="1"/>
  <c r="H4" i="1" l="1"/>
</calcChain>
</file>

<file path=xl/sharedStrings.xml><?xml version="1.0" encoding="utf-8"?>
<sst xmlns="http://schemas.openxmlformats.org/spreadsheetml/2006/main" count="211" uniqueCount="79">
  <si>
    <t>Employee Payroll</t>
  </si>
  <si>
    <t xml:space="preserve">Last Name </t>
  </si>
  <si>
    <t xml:space="preserve">First Name </t>
  </si>
  <si>
    <t xml:space="preserve">Hourly Wages </t>
  </si>
  <si>
    <t xml:space="preserve">House Worked </t>
  </si>
  <si>
    <t>Pay</t>
  </si>
  <si>
    <t>Ahmed</t>
  </si>
  <si>
    <t>Karim</t>
  </si>
  <si>
    <t xml:space="preserve">Islam </t>
  </si>
  <si>
    <t>Sayed</t>
  </si>
  <si>
    <t>Mehedi</t>
  </si>
  <si>
    <t>Arefin</t>
  </si>
  <si>
    <t xml:space="preserve">Rashal </t>
  </si>
  <si>
    <t xml:space="preserve">RD </t>
  </si>
  <si>
    <t>Max</t>
  </si>
  <si>
    <t>Min</t>
  </si>
  <si>
    <t>Average</t>
  </si>
  <si>
    <t>Total</t>
  </si>
  <si>
    <t>Overtime Bonus</t>
  </si>
  <si>
    <t>Overtime House Pay</t>
  </si>
  <si>
    <t>Basic</t>
  </si>
  <si>
    <t xml:space="preserve">Total </t>
  </si>
  <si>
    <t>Total Jan Pay</t>
  </si>
  <si>
    <t xml:space="preserve">Task Detaisl </t>
  </si>
  <si>
    <t xml:space="preserve">Employee Dail Working Time &amp; overtime </t>
  </si>
  <si>
    <t xml:space="preserve">Employee Salary &amp; Bonus Monthly </t>
  </si>
  <si>
    <t>Last Name</t>
  </si>
  <si>
    <t>First Name</t>
  </si>
  <si>
    <t>Gradebook</t>
  </si>
  <si>
    <t xml:space="preserve">Safety Test </t>
  </si>
  <si>
    <t>Company Philosopy</t>
  </si>
  <si>
    <t>Drug Test</t>
  </si>
  <si>
    <t>Finanical  Skill Test</t>
  </si>
  <si>
    <t>Points Possible</t>
  </si>
  <si>
    <t xml:space="preserve">Fee Complaint? </t>
  </si>
  <si>
    <t xml:space="preserve">       </t>
  </si>
  <si>
    <t xml:space="preserve">  </t>
  </si>
  <si>
    <t>Career Dicision Time</t>
  </si>
  <si>
    <t>Job</t>
  </si>
  <si>
    <t>MCDonals Manager</t>
  </si>
  <si>
    <t xml:space="preserve">Doctor </t>
  </si>
  <si>
    <t xml:space="preserve">NFL </t>
  </si>
  <si>
    <t>Engineer</t>
  </si>
  <si>
    <t>Truck Driver</t>
  </si>
  <si>
    <t>Job Market</t>
  </si>
  <si>
    <t>Enjoyment</t>
  </si>
  <si>
    <t xml:space="preserve">My Talent </t>
  </si>
  <si>
    <t>Schooling</t>
  </si>
  <si>
    <t>Month</t>
  </si>
  <si>
    <t>Transection</t>
  </si>
  <si>
    <t xml:space="preserve">Product Code </t>
  </si>
  <si>
    <t>Product Description</t>
  </si>
  <si>
    <t xml:space="preserve">Store Cost </t>
  </si>
  <si>
    <t xml:space="preserve">Sale Price </t>
  </si>
  <si>
    <t xml:space="preserve">Profit </t>
  </si>
  <si>
    <t>Sales Persona l</t>
  </si>
  <si>
    <t>Sale Location</t>
  </si>
  <si>
    <t xml:space="preserve">Jan </t>
  </si>
  <si>
    <t>Feb</t>
  </si>
  <si>
    <t>Pool Coveer</t>
  </si>
  <si>
    <t>XJK</t>
  </si>
  <si>
    <t>KL</t>
  </si>
  <si>
    <t>KLJD</t>
  </si>
  <si>
    <t>XY</t>
  </si>
  <si>
    <t>Commission 10% for items less than 50.20 for times more than 50</t>
  </si>
  <si>
    <t>Sum of all Itmes</t>
  </si>
  <si>
    <t>Sum of Itmes Valued at more the 50</t>
  </si>
  <si>
    <t>Sum of itmes values at 50 or less</t>
  </si>
  <si>
    <t xml:space="preserve">1. Average </t>
  </si>
  <si>
    <t xml:space="preserve">Average = </t>
  </si>
  <si>
    <t>Sum</t>
  </si>
  <si>
    <t xml:space="preserve">sub </t>
  </si>
  <si>
    <t>Car Type</t>
  </si>
  <si>
    <t>Mazeda</t>
  </si>
  <si>
    <t>Honda</t>
  </si>
  <si>
    <t xml:space="preserve">Hyundai </t>
  </si>
  <si>
    <t xml:space="preserve">Toyota </t>
  </si>
  <si>
    <t>Number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</si>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</sst>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6" borderId="0" xfId="0" applyFill="1"/>
    <xf numFmtId="0" fontId="0" fillId="9" borderId="0" xfId="0" applyFill="1"/>
    <xf numFmtId="0" fontId="0" fillId="9" borderId="0" xfId="0" applyFill="1" applyAlignment="1">
      <alignment wrapText="1"/>
    </xf>
    <xf numFmtId="44" fontId="0" fillId="9" borderId="0" xfId="0" applyNumberFormat="1" applyFill="1"/>
    <xf numFmtId="0" fontId="0" fillId="0" borderId="0" xfId="0" applyFill="1"/>
    <xf numFmtId="0" fontId="0" fillId="10" borderId="0" xfId="0" applyFill="1" applyAlignment="1">
      <alignment wrapText="1"/>
    </xf>
    <xf numFmtId="0" fontId="0" fillId="10" borderId="0" xfId="0" applyFill="1"/>
    <xf numFmtId="44" fontId="0" fillId="10" borderId="0" xfId="0" applyNumberFormat="1" applyFill="1"/>
    <xf numFmtId="0" fontId="0" fillId="11" borderId="0" xfId="0" applyFill="1" applyAlignment="1">
      <alignment wrapText="1"/>
    </xf>
    <xf numFmtId="0" fontId="0" fillId="11" borderId="0" xfId="0" applyFill="1"/>
    <xf numFmtId="44" fontId="0" fillId="11" borderId="0" xfId="0" applyNumberFormat="1" applyFill="1"/>
    <xf numFmtId="0" fontId="0" fillId="12" borderId="0" xfId="0" applyFill="1" applyAlignment="1">
      <alignment wrapText="1"/>
    </xf>
    <xf numFmtId="0" fontId="0" fillId="12" borderId="0" xfId="0" applyFill="1"/>
    <xf numFmtId="44" fontId="0" fillId="12" borderId="0" xfId="0" applyNumberFormat="1" applyFill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6" fontId="0" fillId="13" borderId="1" xfId="0" applyNumberFormat="1" applyFill="1" applyBorder="1" applyAlignment="1">
      <alignment horizontal="center" vertical="center" wrapText="1"/>
    </xf>
    <xf numFmtId="16" fontId="0" fillId="13" borderId="1" xfId="0" applyNumberFormat="1" applyFill="1" applyBorder="1" applyAlignment="1">
      <alignment horizontal="center" vertical="center"/>
    </xf>
    <xf numFmtId="44" fontId="0" fillId="7" borderId="1" xfId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44" fontId="0" fillId="4" borderId="1" xfId="0" applyNumberFormat="1" applyFill="1" applyBorder="1" applyAlignment="1">
      <alignment horizontal="right" vertical="center" wrapText="1"/>
    </xf>
    <xf numFmtId="44" fontId="0" fillId="5" borderId="1" xfId="0" applyNumberForma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/>
    </xf>
    <xf numFmtId="0" fontId="0" fillId="12" borderId="1" xfId="0" applyFill="1" applyBorder="1" applyAlignment="1">
      <alignment horizontal="center" vertical="center"/>
    </xf>
    <xf numFmtId="16" fontId="0" fillId="14" borderId="1" xfId="0" applyNumberFormat="1" applyFill="1" applyBorder="1"/>
    <xf numFmtId="0" fontId="0" fillId="12" borderId="1" xfId="0" applyFill="1" applyBorder="1"/>
    <xf numFmtId="44" fontId="0" fillId="14" borderId="1" xfId="0" applyNumberFormat="1" applyFill="1" applyBorder="1" applyAlignment="1">
      <alignment horizontal="right" vertical="center" wrapText="1"/>
    </xf>
    <xf numFmtId="44" fontId="0" fillId="14" borderId="1" xfId="0" applyNumberFormat="1" applyFill="1" applyBorder="1"/>
    <xf numFmtId="44" fontId="0" fillId="12" borderId="1" xfId="0" applyNumberFormat="1" applyFill="1" applyBorder="1"/>
    <xf numFmtId="0" fontId="0" fillId="0" borderId="0" xfId="0" applyAlignment="1">
      <alignment textRotation="90"/>
    </xf>
    <xf numFmtId="9" fontId="0" fillId="0" borderId="0" xfId="2" applyFont="1"/>
    <xf numFmtId="0" fontId="0" fillId="6" borderId="0" xfId="0" applyFill="1" applyBorder="1" applyAlignment="1">
      <alignment horizontal="center" vertical="center" wrapText="1"/>
    </xf>
    <xf numFmtId="0" fontId="0" fillId="13" borderId="0" xfId="0" applyFill="1"/>
    <xf numFmtId="0" fontId="0" fillId="3" borderId="0" xfId="0" applyFill="1"/>
    <xf numFmtId="0" fontId="0" fillId="15" borderId="0" xfId="0" applyFill="1"/>
    <xf numFmtId="0" fontId="0" fillId="16" borderId="0" xfId="0" applyFill="1"/>
    <xf numFmtId="44" fontId="0" fillId="0" borderId="0" xfId="1" applyFont="1" applyAlignment="1">
      <alignment wrapText="1"/>
    </xf>
    <xf numFmtId="44" fontId="0" fillId="0" borderId="0" xfId="1" applyFont="1"/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767116064906535E-2"/>
          <c:y val="0.16742530036378622"/>
          <c:w val="0.90450196013668382"/>
          <c:h val="0.720316394268403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Gradebook!$B$4:$B$15</c:f>
              <c:strCache>
                <c:ptCount val="12"/>
                <c:pt idx="0">
                  <c:v>Karim</c:v>
                </c:pt>
                <c:pt idx="1">
                  <c:v>Sayed</c:v>
                </c:pt>
                <c:pt idx="2">
                  <c:v>Arefin</c:v>
                </c:pt>
                <c:pt idx="3">
                  <c:v>RD </c:v>
                </c:pt>
                <c:pt idx="4">
                  <c:v>Karim</c:v>
                </c:pt>
                <c:pt idx="5">
                  <c:v>Sayed</c:v>
                </c:pt>
                <c:pt idx="6">
                  <c:v>Arefin</c:v>
                </c:pt>
                <c:pt idx="7">
                  <c:v>RD </c:v>
                </c:pt>
                <c:pt idx="8">
                  <c:v>Karim</c:v>
                </c:pt>
                <c:pt idx="9">
                  <c:v>Sayed</c:v>
                </c:pt>
                <c:pt idx="10">
                  <c:v>Arefin</c:v>
                </c:pt>
                <c:pt idx="11">
                  <c:v>RD </c:v>
                </c:pt>
              </c:strCache>
            </c:strRef>
          </c:cat>
          <c:val>
            <c:numRef>
              <c:f>Gradebook!$C$4:$C$15</c:f>
              <c:numCache>
                <c:formatCode>General</c:formatCode>
                <c:ptCount val="12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5</c:v>
                </c:pt>
                <c:pt idx="4">
                  <c:v>7</c:v>
                </c:pt>
                <c:pt idx="5">
                  <c:v>5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A-4AD5-B2AA-F1B24234A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455712"/>
        <c:axId val="427464240"/>
      </c:barChart>
      <c:catAx>
        <c:axId val="42745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64240"/>
        <c:crosses val="autoZero"/>
        <c:auto val="1"/>
        <c:lblAlgn val="ctr"/>
        <c:lblOffset val="100"/>
        <c:noMultiLvlLbl val="0"/>
      </c:catAx>
      <c:valAx>
        <c:axId val="42746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5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Gradebook!$B$4:$B$15</c:f>
              <c:strCache>
                <c:ptCount val="12"/>
                <c:pt idx="0">
                  <c:v>Karim</c:v>
                </c:pt>
                <c:pt idx="1">
                  <c:v>Sayed</c:v>
                </c:pt>
                <c:pt idx="2">
                  <c:v>Arefin</c:v>
                </c:pt>
                <c:pt idx="3">
                  <c:v>RD </c:v>
                </c:pt>
                <c:pt idx="4">
                  <c:v>Karim</c:v>
                </c:pt>
                <c:pt idx="5">
                  <c:v>Sayed</c:v>
                </c:pt>
                <c:pt idx="6">
                  <c:v>Arefin</c:v>
                </c:pt>
                <c:pt idx="7">
                  <c:v>RD </c:v>
                </c:pt>
                <c:pt idx="8">
                  <c:v>Karim</c:v>
                </c:pt>
                <c:pt idx="9">
                  <c:v>Sayed</c:v>
                </c:pt>
                <c:pt idx="10">
                  <c:v>Arefin</c:v>
                </c:pt>
                <c:pt idx="11">
                  <c:v>RD </c:v>
                </c:pt>
              </c:strCache>
            </c:strRef>
          </c:cat>
          <c:val>
            <c:numRef>
              <c:f>Gradebook!$D$4:$D$15</c:f>
              <c:numCache>
                <c:formatCode>General</c:formatCode>
                <c:ptCount val="12"/>
                <c:pt idx="0">
                  <c:v>19</c:v>
                </c:pt>
                <c:pt idx="1">
                  <c:v>17</c:v>
                </c:pt>
                <c:pt idx="2">
                  <c:v>20</c:v>
                </c:pt>
                <c:pt idx="3">
                  <c:v>20</c:v>
                </c:pt>
                <c:pt idx="4">
                  <c:v>10</c:v>
                </c:pt>
                <c:pt idx="5">
                  <c:v>15</c:v>
                </c:pt>
                <c:pt idx="6">
                  <c:v>18</c:v>
                </c:pt>
                <c:pt idx="7">
                  <c:v>19</c:v>
                </c:pt>
                <c:pt idx="8">
                  <c:v>17</c:v>
                </c:pt>
                <c:pt idx="9">
                  <c:v>12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5-4343-8DF1-966C999C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483920"/>
        <c:axId val="427482608"/>
      </c:barChart>
      <c:catAx>
        <c:axId val="42748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82608"/>
        <c:crosses val="autoZero"/>
        <c:auto val="1"/>
        <c:lblAlgn val="ctr"/>
        <c:lblOffset val="100"/>
        <c:noMultiLvlLbl val="0"/>
      </c:catAx>
      <c:valAx>
        <c:axId val="4274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8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Finanical  Skill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Gradebook!$B$4:$B$15</c:f>
              <c:strCache>
                <c:ptCount val="12"/>
                <c:pt idx="0">
                  <c:v>Karim</c:v>
                </c:pt>
                <c:pt idx="1">
                  <c:v>Sayed</c:v>
                </c:pt>
                <c:pt idx="2">
                  <c:v>Arefin</c:v>
                </c:pt>
                <c:pt idx="3">
                  <c:v>RD </c:v>
                </c:pt>
                <c:pt idx="4">
                  <c:v>Karim</c:v>
                </c:pt>
                <c:pt idx="5">
                  <c:v>Sayed</c:v>
                </c:pt>
                <c:pt idx="6">
                  <c:v>Arefin</c:v>
                </c:pt>
                <c:pt idx="7">
                  <c:v>RD </c:v>
                </c:pt>
                <c:pt idx="8">
                  <c:v>Karim</c:v>
                </c:pt>
                <c:pt idx="9">
                  <c:v>Sayed</c:v>
                </c:pt>
                <c:pt idx="10">
                  <c:v>Arefin</c:v>
                </c:pt>
                <c:pt idx="11">
                  <c:v>RD </c:v>
                </c:pt>
              </c:strCache>
            </c:strRef>
          </c:cat>
          <c:val>
            <c:numRef>
              <c:f>Gradebook!$D$4:$D$15</c:f>
              <c:numCache>
                <c:formatCode>General</c:formatCode>
                <c:ptCount val="12"/>
                <c:pt idx="0">
                  <c:v>19</c:v>
                </c:pt>
                <c:pt idx="1">
                  <c:v>17</c:v>
                </c:pt>
                <c:pt idx="2">
                  <c:v>20</c:v>
                </c:pt>
                <c:pt idx="3">
                  <c:v>20</c:v>
                </c:pt>
                <c:pt idx="4">
                  <c:v>10</c:v>
                </c:pt>
                <c:pt idx="5">
                  <c:v>15</c:v>
                </c:pt>
                <c:pt idx="6">
                  <c:v>18</c:v>
                </c:pt>
                <c:pt idx="7">
                  <c:v>19</c:v>
                </c:pt>
                <c:pt idx="8">
                  <c:v>17</c:v>
                </c:pt>
                <c:pt idx="9">
                  <c:v>12</c:v>
                </c:pt>
                <c:pt idx="10">
                  <c:v>10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5-4343-8DF1-966C999C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7483920"/>
        <c:axId val="427482608"/>
      </c:barChart>
      <c:catAx>
        <c:axId val="42748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82608"/>
        <c:crosses val="autoZero"/>
        <c:auto val="1"/>
        <c:lblAlgn val="ctr"/>
        <c:lblOffset val="100"/>
        <c:noMultiLvlLbl val="0"/>
      </c:catAx>
      <c:valAx>
        <c:axId val="42748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48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444033</xdr:colOff>
      <xdr:row>1</xdr:row>
      <xdr:rowOff>17929</xdr:rowOff>
    </xdr:from>
    <xdr:to>
      <xdr:col>21</xdr:col>
      <xdr:colOff>141474</xdr:colOff>
      <xdr:row>15</xdr:row>
      <xdr:rowOff>88526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15A5-E9B9-9039-CD40-ECAB1B115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521074</xdr:colOff>
      <xdr:row>17</xdr:row>
      <xdr:rowOff>34737</xdr:rowOff>
    </xdr:from>
    <xdr:to>
      <xdr:col>21</xdr:col>
      <xdr:colOff>252132</xdr:colOff>
      <xdr:row>31</xdr:row>
      <xdr:rowOff>110937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2AEB11-3397-B13F-36A6-9101387E0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498663</xdr:colOff>
      <xdr:row>33</xdr:row>
      <xdr:rowOff>57149</xdr:rowOff>
    </xdr:from>
    <xdr:to>
      <xdr:col>21</xdr:col>
      <xdr:colOff>229721</xdr:colOff>
      <xdr:row>47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55515F-2617-2CC0-2660-8FEB54A79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topLeftCell="A3" zoomScale="115" zoomScaleNormal="115" workbookViewId="0">
      <selection activeCell="A5" sqref="A5:B16"/>
    </sheetView>
  </sheetViews>
  <sheetFormatPr defaultRowHeight="15" x14ac:dyDescent="0.25"/>
  <cols>
    <col min="3" max="3" width="11.5703125" customWidth="1"/>
    <col min="14" max="14" width="12.5703125" customWidth="1"/>
    <col min="15" max="15" width="12.42578125" customWidth="1"/>
    <col min="16" max="16" width="12.28515625" customWidth="1"/>
    <col min="17" max="17" width="11.42578125" customWidth="1"/>
    <col min="18" max="23" width="13.7109375" customWidth="1"/>
    <col min="24" max="24" width="11.28515625" bestFit="1" customWidth="1"/>
    <col min="25" max="25" width="11.5703125" bestFit="1" customWidth="1"/>
    <col min="26" max="26" width="10.5703125" bestFit="1" customWidth="1"/>
    <col min="27" max="28" width="11.5703125" bestFit="1" customWidth="1"/>
    <col min="29" max="29" width="14.5703125" customWidth="1"/>
  </cols>
  <sheetData>
    <row r="1" spans="1:29" ht="30" customHeight="1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9" ht="30" customHeight="1" x14ac:dyDescent="0.25">
      <c r="A3" s="48" t="s">
        <v>20</v>
      </c>
      <c r="B3" s="48"/>
      <c r="C3" s="48"/>
      <c r="D3" s="48" t="s">
        <v>4</v>
      </c>
      <c r="E3" s="48"/>
      <c r="F3" s="48"/>
      <c r="G3" s="48"/>
      <c r="H3" s="48"/>
      <c r="I3" s="44" t="s">
        <v>19</v>
      </c>
      <c r="J3" s="45"/>
      <c r="K3" s="45"/>
      <c r="L3" s="45"/>
      <c r="M3" s="46"/>
      <c r="N3" s="48" t="s">
        <v>5</v>
      </c>
      <c r="O3" s="48"/>
      <c r="P3" s="48"/>
      <c r="Q3" s="48"/>
      <c r="R3" s="48"/>
      <c r="S3" s="48" t="s">
        <v>18</v>
      </c>
      <c r="T3" s="48"/>
      <c r="U3" s="48"/>
      <c r="V3" s="48"/>
      <c r="W3" s="48"/>
      <c r="X3" s="47" t="s">
        <v>21</v>
      </c>
      <c r="Y3" s="47"/>
      <c r="Z3" s="47"/>
      <c r="AA3" s="47"/>
      <c r="AB3" s="47"/>
      <c r="AC3" s="27" t="s">
        <v>22</v>
      </c>
    </row>
    <row r="4" spans="1:29" ht="30" x14ac:dyDescent="0.25">
      <c r="A4" s="18" t="s">
        <v>1</v>
      </c>
      <c r="B4" s="18" t="s">
        <v>2</v>
      </c>
      <c r="C4" s="18" t="s">
        <v>3</v>
      </c>
      <c r="D4" s="19">
        <v>44562</v>
      </c>
      <c r="E4" s="19">
        <f>D4+7</f>
        <v>44569</v>
      </c>
      <c r="F4" s="19">
        <f t="shared" ref="F4:H4" si="0">E4+7</f>
        <v>44576</v>
      </c>
      <c r="G4" s="19">
        <f t="shared" si="0"/>
        <v>44583</v>
      </c>
      <c r="H4" s="19">
        <f t="shared" si="0"/>
        <v>44590</v>
      </c>
      <c r="I4" s="19">
        <v>44562</v>
      </c>
      <c r="J4" s="20">
        <f>I4+7</f>
        <v>44569</v>
      </c>
      <c r="K4" s="20">
        <f t="shared" ref="K4:M4" si="1">J4+7</f>
        <v>44576</v>
      </c>
      <c r="L4" s="20">
        <f t="shared" si="1"/>
        <v>44583</v>
      </c>
      <c r="M4" s="20">
        <f t="shared" si="1"/>
        <v>44590</v>
      </c>
      <c r="N4" s="19">
        <v>44562</v>
      </c>
      <c r="O4" s="19">
        <f>N4+7</f>
        <v>44569</v>
      </c>
      <c r="P4" s="19">
        <f t="shared" ref="P4:R4" si="2">O4+7</f>
        <v>44576</v>
      </c>
      <c r="Q4" s="19">
        <f t="shared" si="2"/>
        <v>44583</v>
      </c>
      <c r="R4" s="19">
        <f t="shared" si="2"/>
        <v>44590</v>
      </c>
      <c r="S4" s="19">
        <v>44562</v>
      </c>
      <c r="T4" s="19">
        <f>S4+7</f>
        <v>44569</v>
      </c>
      <c r="U4" s="19">
        <f t="shared" ref="U4:W4" si="3">T4+7</f>
        <v>44576</v>
      </c>
      <c r="V4" s="19">
        <f t="shared" si="3"/>
        <v>44583</v>
      </c>
      <c r="W4" s="19">
        <f t="shared" si="3"/>
        <v>44590</v>
      </c>
      <c r="X4" s="28">
        <v>44562</v>
      </c>
      <c r="Y4" s="28">
        <f>X4+7</f>
        <v>44569</v>
      </c>
      <c r="Z4" s="28">
        <f t="shared" ref="Z4:AB4" si="4">Y4+7</f>
        <v>44576</v>
      </c>
      <c r="AA4" s="28">
        <f t="shared" si="4"/>
        <v>44583</v>
      </c>
      <c r="AB4" s="28">
        <f t="shared" si="4"/>
        <v>44590</v>
      </c>
      <c r="AC4" s="29"/>
    </row>
    <row r="5" spans="1:29" x14ac:dyDescent="0.25">
      <c r="A5" s="16" t="s">
        <v>6</v>
      </c>
      <c r="B5" s="16" t="s">
        <v>7</v>
      </c>
      <c r="C5" s="21">
        <v>45</v>
      </c>
      <c r="D5" s="22">
        <v>49</v>
      </c>
      <c r="E5" s="22">
        <v>39</v>
      </c>
      <c r="F5" s="22">
        <v>49</v>
      </c>
      <c r="G5" s="22">
        <v>39</v>
      </c>
      <c r="H5" s="22">
        <v>39</v>
      </c>
      <c r="I5" s="23">
        <f>IF(D5&gt;40, D5-40, 0)</f>
        <v>9</v>
      </c>
      <c r="J5" s="23">
        <f t="shared" ref="J5:M16" si="5">IF(E5&gt;40, E5-40, 0)</f>
        <v>0</v>
      </c>
      <c r="K5" s="23">
        <f>IF(F5&gt;40, F5-40, 0)</f>
        <v>9</v>
      </c>
      <c r="L5" s="23">
        <f>IF(G5&gt;40, G5-40, 0)</f>
        <v>0</v>
      </c>
      <c r="M5" s="23">
        <f>IF(H5&gt;40, H5-40, 0)</f>
        <v>0</v>
      </c>
      <c r="N5" s="24">
        <f>$C5*D5</f>
        <v>2205</v>
      </c>
      <c r="O5" s="24">
        <f>$C5*E5</f>
        <v>1755</v>
      </c>
      <c r="P5" s="24">
        <f>$C5*F5</f>
        <v>2205</v>
      </c>
      <c r="Q5" s="24">
        <f>$C5*G5</f>
        <v>1755</v>
      </c>
      <c r="R5" s="24">
        <f>$C5*H5</f>
        <v>1755</v>
      </c>
      <c r="S5" s="25">
        <f>0.5*$C5*I5</f>
        <v>202.5</v>
      </c>
      <c r="T5" s="25">
        <f t="shared" ref="T5:W5" si="6">0.5*$C5*J5</f>
        <v>0</v>
      </c>
      <c r="U5" s="25">
        <f t="shared" si="6"/>
        <v>202.5</v>
      </c>
      <c r="V5" s="25">
        <f t="shared" si="6"/>
        <v>0</v>
      </c>
      <c r="W5" s="25">
        <f t="shared" si="6"/>
        <v>0</v>
      </c>
      <c r="X5" s="30">
        <f>SUM(N5+S5)</f>
        <v>2407.5</v>
      </c>
      <c r="Y5" s="31">
        <f>SUM(O5+T5)</f>
        <v>1755</v>
      </c>
      <c r="Z5" s="31">
        <f>SUM(P5+U5)</f>
        <v>2407.5</v>
      </c>
      <c r="AA5" s="31">
        <f>SUM(Q5+V5)</f>
        <v>1755</v>
      </c>
      <c r="AB5" s="31">
        <f>SUM(R5+W5)</f>
        <v>1755</v>
      </c>
      <c r="AC5" s="32">
        <f>SUM(X5:AB5)</f>
        <v>10080</v>
      </c>
    </row>
    <row r="6" spans="1:29" x14ac:dyDescent="0.25">
      <c r="A6" s="16" t="s">
        <v>8</v>
      </c>
      <c r="B6" s="17" t="s">
        <v>9</v>
      </c>
      <c r="C6" s="21">
        <v>45</v>
      </c>
      <c r="D6" s="26">
        <v>41</v>
      </c>
      <c r="E6" s="26">
        <v>40</v>
      </c>
      <c r="F6" s="26">
        <v>41</v>
      </c>
      <c r="G6" s="26">
        <v>40</v>
      </c>
      <c r="H6" s="26">
        <v>40</v>
      </c>
      <c r="I6" s="23">
        <f t="shared" ref="I6:I16" si="7">IF(D6&gt;40, D6-40, 0)</f>
        <v>1</v>
      </c>
      <c r="J6" s="23">
        <f t="shared" si="5"/>
        <v>0</v>
      </c>
      <c r="K6" s="23">
        <f t="shared" si="5"/>
        <v>1</v>
      </c>
      <c r="L6" s="23">
        <f t="shared" si="5"/>
        <v>0</v>
      </c>
      <c r="M6" s="23">
        <f t="shared" si="5"/>
        <v>0</v>
      </c>
      <c r="N6" s="24">
        <f t="shared" ref="N6:N16" si="8">$C6*D6</f>
        <v>1845</v>
      </c>
      <c r="O6" s="24">
        <f t="shared" ref="O6:R16" si="9">$C6*E6</f>
        <v>1800</v>
      </c>
      <c r="P6" s="24">
        <f t="shared" si="9"/>
        <v>1845</v>
      </c>
      <c r="Q6" s="24">
        <f t="shared" si="9"/>
        <v>1800</v>
      </c>
      <c r="R6" s="24">
        <f t="shared" si="9"/>
        <v>1800</v>
      </c>
      <c r="S6" s="25">
        <f t="shared" ref="S6:S16" si="10">0.5*$C6*I6</f>
        <v>22.5</v>
      </c>
      <c r="T6" s="25">
        <f t="shared" ref="T6:T16" si="11">0.5*$C6*J6</f>
        <v>0</v>
      </c>
      <c r="U6" s="25">
        <f t="shared" ref="U6:U16" si="12">0.5*$C6*K6</f>
        <v>22.5</v>
      </c>
      <c r="V6" s="25">
        <f t="shared" ref="V6:V16" si="13">0.5*$C6*L6</f>
        <v>0</v>
      </c>
      <c r="W6" s="25">
        <f t="shared" ref="W6:W16" si="14">0.5*$C6*M6</f>
        <v>0</v>
      </c>
      <c r="X6" s="30">
        <f t="shared" ref="X6:X15" si="15">SUM(N6+S6)</f>
        <v>1867.5</v>
      </c>
      <c r="Y6" s="31">
        <f t="shared" ref="Y6:Y16" si="16">SUM(O6+T6)</f>
        <v>1800</v>
      </c>
      <c r="Z6" s="31">
        <f t="shared" ref="Z6:Z16" si="17">SUM(P6+U6)</f>
        <v>1867.5</v>
      </c>
      <c r="AA6" s="31">
        <f t="shared" ref="AA6:AA16" si="18">SUM(Q6+V6)</f>
        <v>1800</v>
      </c>
      <c r="AB6" s="31">
        <f t="shared" ref="AB6:AB16" si="19">SUM(R6+W6)</f>
        <v>1800</v>
      </c>
      <c r="AC6" s="32">
        <f t="shared" ref="AC6:AC16" si="20">SUM(X6:AB6)</f>
        <v>9135</v>
      </c>
    </row>
    <row r="7" spans="1:29" x14ac:dyDescent="0.25">
      <c r="A7" s="16" t="s">
        <v>10</v>
      </c>
      <c r="B7" s="16" t="s">
        <v>11</v>
      </c>
      <c r="C7" s="21">
        <v>45</v>
      </c>
      <c r="D7" s="22">
        <v>39</v>
      </c>
      <c r="E7" s="22">
        <v>41</v>
      </c>
      <c r="F7" s="22">
        <v>39</v>
      </c>
      <c r="G7" s="22">
        <v>41</v>
      </c>
      <c r="H7" s="22">
        <v>41</v>
      </c>
      <c r="I7" s="23">
        <f t="shared" si="7"/>
        <v>0</v>
      </c>
      <c r="J7" s="23">
        <f t="shared" si="5"/>
        <v>1</v>
      </c>
      <c r="K7" s="23">
        <f t="shared" si="5"/>
        <v>0</v>
      </c>
      <c r="L7" s="23">
        <f t="shared" si="5"/>
        <v>1</v>
      </c>
      <c r="M7" s="23">
        <f t="shared" si="5"/>
        <v>1</v>
      </c>
      <c r="N7" s="24">
        <f t="shared" si="8"/>
        <v>1755</v>
      </c>
      <c r="O7" s="24">
        <f t="shared" si="9"/>
        <v>1845</v>
      </c>
      <c r="P7" s="24">
        <f t="shared" si="9"/>
        <v>1755</v>
      </c>
      <c r="Q7" s="24">
        <f t="shared" si="9"/>
        <v>1845</v>
      </c>
      <c r="R7" s="24">
        <f t="shared" si="9"/>
        <v>1845</v>
      </c>
      <c r="S7" s="25">
        <f t="shared" si="10"/>
        <v>0</v>
      </c>
      <c r="T7" s="25">
        <f t="shared" si="11"/>
        <v>22.5</v>
      </c>
      <c r="U7" s="25">
        <f t="shared" si="12"/>
        <v>0</v>
      </c>
      <c r="V7" s="25">
        <f t="shared" si="13"/>
        <v>22.5</v>
      </c>
      <c r="W7" s="25">
        <f t="shared" si="14"/>
        <v>22.5</v>
      </c>
      <c r="X7" s="30">
        <f t="shared" si="15"/>
        <v>1755</v>
      </c>
      <c r="Y7" s="31">
        <f t="shared" si="16"/>
        <v>1867.5</v>
      </c>
      <c r="Z7" s="31">
        <f t="shared" si="17"/>
        <v>1755</v>
      </c>
      <c r="AA7" s="31">
        <f t="shared" si="18"/>
        <v>1867.5</v>
      </c>
      <c r="AB7" s="31">
        <f t="shared" si="19"/>
        <v>1867.5</v>
      </c>
      <c r="AC7" s="32">
        <f t="shared" si="20"/>
        <v>9112.5</v>
      </c>
    </row>
    <row r="8" spans="1:29" x14ac:dyDescent="0.25">
      <c r="A8" s="16" t="s">
        <v>12</v>
      </c>
      <c r="B8" s="16" t="s">
        <v>13</v>
      </c>
      <c r="C8" s="21">
        <v>235</v>
      </c>
      <c r="D8" s="22">
        <v>25</v>
      </c>
      <c r="E8" s="22">
        <v>42</v>
      </c>
      <c r="F8" s="22">
        <v>25</v>
      </c>
      <c r="G8" s="22">
        <v>42</v>
      </c>
      <c r="H8" s="22">
        <v>42</v>
      </c>
      <c r="I8" s="23">
        <f t="shared" si="7"/>
        <v>0</v>
      </c>
      <c r="J8" s="23">
        <f t="shared" si="5"/>
        <v>2</v>
      </c>
      <c r="K8" s="23">
        <f t="shared" si="5"/>
        <v>0</v>
      </c>
      <c r="L8" s="23">
        <f t="shared" si="5"/>
        <v>2</v>
      </c>
      <c r="M8" s="23">
        <f t="shared" si="5"/>
        <v>2</v>
      </c>
      <c r="N8" s="24">
        <f t="shared" si="8"/>
        <v>5875</v>
      </c>
      <c r="O8" s="24">
        <f t="shared" si="9"/>
        <v>9870</v>
      </c>
      <c r="P8" s="24">
        <f t="shared" si="9"/>
        <v>5875</v>
      </c>
      <c r="Q8" s="24">
        <f t="shared" si="9"/>
        <v>9870</v>
      </c>
      <c r="R8" s="24">
        <f t="shared" si="9"/>
        <v>9870</v>
      </c>
      <c r="S8" s="25">
        <f t="shared" si="10"/>
        <v>0</v>
      </c>
      <c r="T8" s="25">
        <f t="shared" si="11"/>
        <v>235</v>
      </c>
      <c r="U8" s="25">
        <f t="shared" si="12"/>
        <v>0</v>
      </c>
      <c r="V8" s="25">
        <f t="shared" si="13"/>
        <v>235</v>
      </c>
      <c r="W8" s="25">
        <f t="shared" si="14"/>
        <v>235</v>
      </c>
      <c r="X8" s="30">
        <f t="shared" si="15"/>
        <v>5875</v>
      </c>
      <c r="Y8" s="31">
        <f t="shared" si="16"/>
        <v>10105</v>
      </c>
      <c r="Z8" s="31">
        <f t="shared" si="17"/>
        <v>5875</v>
      </c>
      <c r="AA8" s="31">
        <f>SUM(Q8+V8)</f>
        <v>10105</v>
      </c>
      <c r="AB8" s="31">
        <f>SUM(R8+W8)</f>
        <v>10105</v>
      </c>
      <c r="AC8" s="32">
        <f t="shared" si="20"/>
        <v>42065</v>
      </c>
    </row>
    <row r="9" spans="1:29" x14ac:dyDescent="0.25">
      <c r="A9" s="16" t="s">
        <v>6</v>
      </c>
      <c r="B9" s="16" t="s">
        <v>7</v>
      </c>
      <c r="C9" s="21">
        <v>25</v>
      </c>
      <c r="D9" s="22">
        <v>47</v>
      </c>
      <c r="E9" s="22">
        <v>37</v>
      </c>
      <c r="F9" s="22">
        <v>47</v>
      </c>
      <c r="G9" s="22">
        <v>37</v>
      </c>
      <c r="H9" s="22">
        <v>37</v>
      </c>
      <c r="I9" s="23">
        <f t="shared" si="7"/>
        <v>7</v>
      </c>
      <c r="J9" s="23">
        <f t="shared" si="5"/>
        <v>0</v>
      </c>
      <c r="K9" s="23">
        <f t="shared" si="5"/>
        <v>7</v>
      </c>
      <c r="L9" s="23">
        <f t="shared" si="5"/>
        <v>0</v>
      </c>
      <c r="M9" s="23">
        <f t="shared" si="5"/>
        <v>0</v>
      </c>
      <c r="N9" s="24">
        <f t="shared" si="8"/>
        <v>1175</v>
      </c>
      <c r="O9" s="24">
        <f t="shared" si="9"/>
        <v>925</v>
      </c>
      <c r="P9" s="24">
        <f t="shared" si="9"/>
        <v>1175</v>
      </c>
      <c r="Q9" s="24">
        <f t="shared" si="9"/>
        <v>925</v>
      </c>
      <c r="R9" s="24">
        <f t="shared" si="9"/>
        <v>925</v>
      </c>
      <c r="S9" s="25">
        <f t="shared" si="10"/>
        <v>87.5</v>
      </c>
      <c r="T9" s="25">
        <f t="shared" si="11"/>
        <v>0</v>
      </c>
      <c r="U9" s="25">
        <f t="shared" si="12"/>
        <v>87.5</v>
      </c>
      <c r="V9" s="25">
        <f t="shared" si="13"/>
        <v>0</v>
      </c>
      <c r="W9" s="25">
        <f t="shared" si="14"/>
        <v>0</v>
      </c>
      <c r="X9" s="30">
        <f t="shared" si="15"/>
        <v>1262.5</v>
      </c>
      <c r="Y9" s="31">
        <f t="shared" si="16"/>
        <v>925</v>
      </c>
      <c r="Z9" s="31">
        <f t="shared" si="17"/>
        <v>1262.5</v>
      </c>
      <c r="AA9" s="31">
        <f t="shared" si="18"/>
        <v>925</v>
      </c>
      <c r="AB9" s="31">
        <f t="shared" si="19"/>
        <v>925</v>
      </c>
      <c r="AC9" s="32">
        <f t="shared" si="20"/>
        <v>5300</v>
      </c>
    </row>
    <row r="10" spans="1:29" x14ac:dyDescent="0.25">
      <c r="A10" s="16" t="s">
        <v>8</v>
      </c>
      <c r="B10" s="17" t="s">
        <v>9</v>
      </c>
      <c r="C10" s="21">
        <v>25</v>
      </c>
      <c r="D10" s="22">
        <v>21</v>
      </c>
      <c r="E10" s="22">
        <v>20</v>
      </c>
      <c r="F10" s="22">
        <v>21</v>
      </c>
      <c r="G10" s="22">
        <v>20</v>
      </c>
      <c r="H10" s="22">
        <v>20</v>
      </c>
      <c r="I10" s="23">
        <f t="shared" si="7"/>
        <v>0</v>
      </c>
      <c r="J10" s="23">
        <f t="shared" si="5"/>
        <v>0</v>
      </c>
      <c r="K10" s="23">
        <f t="shared" si="5"/>
        <v>0</v>
      </c>
      <c r="L10" s="23">
        <f t="shared" si="5"/>
        <v>0</v>
      </c>
      <c r="M10" s="23">
        <f t="shared" si="5"/>
        <v>0</v>
      </c>
      <c r="N10" s="24">
        <f t="shared" si="8"/>
        <v>525</v>
      </c>
      <c r="O10" s="24">
        <f t="shared" si="9"/>
        <v>500</v>
      </c>
      <c r="P10" s="24">
        <f t="shared" si="9"/>
        <v>525</v>
      </c>
      <c r="Q10" s="24">
        <f t="shared" si="9"/>
        <v>500</v>
      </c>
      <c r="R10" s="24">
        <f t="shared" si="9"/>
        <v>500</v>
      </c>
      <c r="S10" s="25">
        <f t="shared" si="10"/>
        <v>0</v>
      </c>
      <c r="T10" s="25">
        <f t="shared" si="11"/>
        <v>0</v>
      </c>
      <c r="U10" s="25">
        <f t="shared" si="12"/>
        <v>0</v>
      </c>
      <c r="V10" s="25">
        <f t="shared" si="13"/>
        <v>0</v>
      </c>
      <c r="W10" s="25">
        <f t="shared" si="14"/>
        <v>0</v>
      </c>
      <c r="X10" s="30">
        <f t="shared" si="15"/>
        <v>525</v>
      </c>
      <c r="Y10" s="31">
        <f t="shared" si="16"/>
        <v>500</v>
      </c>
      <c r="Z10" s="31">
        <f t="shared" si="17"/>
        <v>525</v>
      </c>
      <c r="AA10" s="31">
        <f t="shared" si="18"/>
        <v>500</v>
      </c>
      <c r="AB10" s="31">
        <f t="shared" si="19"/>
        <v>500</v>
      </c>
      <c r="AC10" s="32">
        <f t="shared" si="20"/>
        <v>2550</v>
      </c>
    </row>
    <row r="11" spans="1:29" x14ac:dyDescent="0.25">
      <c r="A11" s="16" t="s">
        <v>10</v>
      </c>
      <c r="B11" s="16" t="s">
        <v>11</v>
      </c>
      <c r="C11" s="21">
        <v>22</v>
      </c>
      <c r="D11" s="22">
        <v>65</v>
      </c>
      <c r="E11" s="22">
        <v>45</v>
      </c>
      <c r="F11" s="22">
        <v>65</v>
      </c>
      <c r="G11" s="22">
        <v>45</v>
      </c>
      <c r="H11" s="22">
        <v>45</v>
      </c>
      <c r="I11" s="23">
        <f t="shared" si="7"/>
        <v>25</v>
      </c>
      <c r="J11" s="23">
        <f t="shared" si="5"/>
        <v>5</v>
      </c>
      <c r="K11" s="23">
        <f t="shared" si="5"/>
        <v>25</v>
      </c>
      <c r="L11" s="23">
        <f t="shared" si="5"/>
        <v>5</v>
      </c>
      <c r="M11" s="23">
        <f t="shared" si="5"/>
        <v>5</v>
      </c>
      <c r="N11" s="24">
        <f t="shared" si="8"/>
        <v>1430</v>
      </c>
      <c r="O11" s="24">
        <f t="shared" si="9"/>
        <v>990</v>
      </c>
      <c r="P11" s="24">
        <f t="shared" si="9"/>
        <v>1430</v>
      </c>
      <c r="Q11" s="24">
        <f t="shared" si="9"/>
        <v>990</v>
      </c>
      <c r="R11" s="24">
        <f t="shared" si="9"/>
        <v>990</v>
      </c>
      <c r="S11" s="25">
        <f t="shared" si="10"/>
        <v>275</v>
      </c>
      <c r="T11" s="25">
        <f t="shared" si="11"/>
        <v>55</v>
      </c>
      <c r="U11" s="25">
        <f t="shared" si="12"/>
        <v>275</v>
      </c>
      <c r="V11" s="25">
        <f t="shared" si="13"/>
        <v>55</v>
      </c>
      <c r="W11" s="25">
        <f t="shared" si="14"/>
        <v>55</v>
      </c>
      <c r="X11" s="30">
        <f t="shared" si="15"/>
        <v>1705</v>
      </c>
      <c r="Y11" s="31">
        <f t="shared" si="16"/>
        <v>1045</v>
      </c>
      <c r="Z11" s="31">
        <f t="shared" si="17"/>
        <v>1705</v>
      </c>
      <c r="AA11" s="31">
        <f t="shared" si="18"/>
        <v>1045</v>
      </c>
      <c r="AB11" s="31">
        <f t="shared" si="19"/>
        <v>1045</v>
      </c>
      <c r="AC11" s="32">
        <f t="shared" si="20"/>
        <v>6545</v>
      </c>
    </row>
    <row r="12" spans="1:29" x14ac:dyDescent="0.25">
      <c r="A12" s="16" t="s">
        <v>12</v>
      </c>
      <c r="B12" s="16" t="s">
        <v>13</v>
      </c>
      <c r="C12" s="21">
        <v>12</v>
      </c>
      <c r="D12" s="22">
        <v>48</v>
      </c>
      <c r="E12" s="22">
        <v>50</v>
      </c>
      <c r="F12" s="22">
        <v>48</v>
      </c>
      <c r="G12" s="22">
        <v>50</v>
      </c>
      <c r="H12" s="22">
        <v>50</v>
      </c>
      <c r="I12" s="23">
        <f t="shared" si="7"/>
        <v>8</v>
      </c>
      <c r="J12" s="23">
        <f t="shared" si="5"/>
        <v>10</v>
      </c>
      <c r="K12" s="23">
        <f t="shared" si="5"/>
        <v>8</v>
      </c>
      <c r="L12" s="23">
        <f t="shared" si="5"/>
        <v>10</v>
      </c>
      <c r="M12" s="23">
        <f t="shared" si="5"/>
        <v>10</v>
      </c>
      <c r="N12" s="24">
        <f t="shared" si="8"/>
        <v>576</v>
      </c>
      <c r="O12" s="24">
        <f t="shared" si="9"/>
        <v>600</v>
      </c>
      <c r="P12" s="24">
        <f t="shared" si="9"/>
        <v>576</v>
      </c>
      <c r="Q12" s="24">
        <f t="shared" si="9"/>
        <v>600</v>
      </c>
      <c r="R12" s="24">
        <f t="shared" si="9"/>
        <v>600</v>
      </c>
      <c r="S12" s="25">
        <f t="shared" si="10"/>
        <v>48</v>
      </c>
      <c r="T12" s="25">
        <f t="shared" si="11"/>
        <v>60</v>
      </c>
      <c r="U12" s="25">
        <f t="shared" si="12"/>
        <v>48</v>
      </c>
      <c r="V12" s="25">
        <f t="shared" si="13"/>
        <v>60</v>
      </c>
      <c r="W12" s="25">
        <f t="shared" si="14"/>
        <v>60</v>
      </c>
      <c r="X12" s="30">
        <f t="shared" si="15"/>
        <v>624</v>
      </c>
      <c r="Y12" s="31">
        <f t="shared" si="16"/>
        <v>660</v>
      </c>
      <c r="Z12" s="31">
        <f t="shared" si="17"/>
        <v>624</v>
      </c>
      <c r="AA12" s="31">
        <f t="shared" si="18"/>
        <v>660</v>
      </c>
      <c r="AB12" s="31">
        <f t="shared" si="19"/>
        <v>660</v>
      </c>
      <c r="AC12" s="32">
        <f t="shared" si="20"/>
        <v>3228</v>
      </c>
    </row>
    <row r="13" spans="1:29" x14ac:dyDescent="0.25">
      <c r="A13" s="16" t="s">
        <v>6</v>
      </c>
      <c r="B13" s="16" t="s">
        <v>7</v>
      </c>
      <c r="C13" s="21">
        <v>15</v>
      </c>
      <c r="D13" s="22">
        <v>47</v>
      </c>
      <c r="E13" s="22">
        <v>38</v>
      </c>
      <c r="F13" s="22">
        <v>47</v>
      </c>
      <c r="G13" s="22">
        <v>38</v>
      </c>
      <c r="H13" s="22">
        <v>38</v>
      </c>
      <c r="I13" s="23">
        <f t="shared" si="7"/>
        <v>7</v>
      </c>
      <c r="J13" s="23">
        <f t="shared" si="5"/>
        <v>0</v>
      </c>
      <c r="K13" s="23">
        <f t="shared" si="5"/>
        <v>7</v>
      </c>
      <c r="L13" s="23">
        <f t="shared" si="5"/>
        <v>0</v>
      </c>
      <c r="M13" s="23">
        <f t="shared" si="5"/>
        <v>0</v>
      </c>
      <c r="N13" s="24">
        <f t="shared" si="8"/>
        <v>705</v>
      </c>
      <c r="O13" s="24">
        <f t="shared" si="9"/>
        <v>570</v>
      </c>
      <c r="P13" s="24">
        <f t="shared" si="9"/>
        <v>705</v>
      </c>
      <c r="Q13" s="24">
        <f t="shared" si="9"/>
        <v>570</v>
      </c>
      <c r="R13" s="24">
        <f t="shared" si="9"/>
        <v>570</v>
      </c>
      <c r="S13" s="25">
        <f t="shared" si="10"/>
        <v>52.5</v>
      </c>
      <c r="T13" s="25">
        <f t="shared" si="11"/>
        <v>0</v>
      </c>
      <c r="U13" s="25">
        <f t="shared" si="12"/>
        <v>52.5</v>
      </c>
      <c r="V13" s="25">
        <f t="shared" si="13"/>
        <v>0</v>
      </c>
      <c r="W13" s="25">
        <f t="shared" si="14"/>
        <v>0</v>
      </c>
      <c r="X13" s="30">
        <f t="shared" si="15"/>
        <v>757.5</v>
      </c>
      <c r="Y13" s="31">
        <f t="shared" si="16"/>
        <v>570</v>
      </c>
      <c r="Z13" s="31">
        <f t="shared" si="17"/>
        <v>757.5</v>
      </c>
      <c r="AA13" s="31">
        <f t="shared" si="18"/>
        <v>570</v>
      </c>
      <c r="AB13" s="31">
        <f t="shared" si="19"/>
        <v>570</v>
      </c>
      <c r="AC13" s="32">
        <f t="shared" si="20"/>
        <v>3225</v>
      </c>
    </row>
    <row r="14" spans="1:29" x14ac:dyDescent="0.25">
      <c r="A14" s="16" t="s">
        <v>8</v>
      </c>
      <c r="B14" s="17" t="s">
        <v>9</v>
      </c>
      <c r="C14" s="21">
        <v>17</v>
      </c>
      <c r="D14" s="22">
        <v>28</v>
      </c>
      <c r="E14" s="22">
        <v>15</v>
      </c>
      <c r="F14" s="22">
        <v>28</v>
      </c>
      <c r="G14" s="22">
        <v>15</v>
      </c>
      <c r="H14" s="22">
        <v>15</v>
      </c>
      <c r="I14" s="23">
        <f t="shared" si="7"/>
        <v>0</v>
      </c>
      <c r="J14" s="23">
        <f t="shared" si="5"/>
        <v>0</v>
      </c>
      <c r="K14" s="23">
        <f t="shared" si="5"/>
        <v>0</v>
      </c>
      <c r="L14" s="23">
        <f t="shared" si="5"/>
        <v>0</v>
      </c>
      <c r="M14" s="23">
        <f t="shared" si="5"/>
        <v>0</v>
      </c>
      <c r="N14" s="24">
        <f t="shared" si="8"/>
        <v>476</v>
      </c>
      <c r="O14" s="24">
        <f t="shared" si="9"/>
        <v>255</v>
      </c>
      <c r="P14" s="24">
        <f t="shared" si="9"/>
        <v>476</v>
      </c>
      <c r="Q14" s="24">
        <f t="shared" si="9"/>
        <v>255</v>
      </c>
      <c r="R14" s="24">
        <f t="shared" si="9"/>
        <v>255</v>
      </c>
      <c r="S14" s="25">
        <f t="shared" si="10"/>
        <v>0</v>
      </c>
      <c r="T14" s="25">
        <f t="shared" si="11"/>
        <v>0</v>
      </c>
      <c r="U14" s="25">
        <f t="shared" si="12"/>
        <v>0</v>
      </c>
      <c r="V14" s="25">
        <f t="shared" si="13"/>
        <v>0</v>
      </c>
      <c r="W14" s="25">
        <f t="shared" si="14"/>
        <v>0</v>
      </c>
      <c r="X14" s="30">
        <f t="shared" si="15"/>
        <v>476</v>
      </c>
      <c r="Y14" s="31">
        <f t="shared" si="16"/>
        <v>255</v>
      </c>
      <c r="Z14" s="31">
        <f t="shared" si="17"/>
        <v>476</v>
      </c>
      <c r="AA14" s="31">
        <f t="shared" si="18"/>
        <v>255</v>
      </c>
      <c r="AB14" s="31">
        <f t="shared" si="19"/>
        <v>255</v>
      </c>
      <c r="AC14" s="32">
        <f t="shared" si="20"/>
        <v>1717</v>
      </c>
    </row>
    <row r="15" spans="1:29" x14ac:dyDescent="0.25">
      <c r="A15" s="16" t="s">
        <v>10</v>
      </c>
      <c r="B15" s="16" t="s">
        <v>11</v>
      </c>
      <c r="C15" s="21">
        <v>21</v>
      </c>
      <c r="D15" s="22">
        <v>20</v>
      </c>
      <c r="E15" s="22">
        <v>58</v>
      </c>
      <c r="F15" s="22">
        <v>20</v>
      </c>
      <c r="G15" s="22">
        <v>58</v>
      </c>
      <c r="H15" s="22">
        <v>58</v>
      </c>
      <c r="I15" s="23">
        <f t="shared" si="7"/>
        <v>0</v>
      </c>
      <c r="J15" s="23">
        <f t="shared" si="5"/>
        <v>18</v>
      </c>
      <c r="K15" s="23">
        <f t="shared" si="5"/>
        <v>0</v>
      </c>
      <c r="L15" s="23">
        <f t="shared" si="5"/>
        <v>18</v>
      </c>
      <c r="M15" s="23">
        <f t="shared" si="5"/>
        <v>18</v>
      </c>
      <c r="N15" s="24">
        <f t="shared" si="8"/>
        <v>420</v>
      </c>
      <c r="O15" s="24">
        <f t="shared" si="9"/>
        <v>1218</v>
      </c>
      <c r="P15" s="24">
        <f t="shared" si="9"/>
        <v>420</v>
      </c>
      <c r="Q15" s="24">
        <f t="shared" si="9"/>
        <v>1218</v>
      </c>
      <c r="R15" s="24">
        <f t="shared" si="9"/>
        <v>1218</v>
      </c>
      <c r="S15" s="25">
        <f t="shared" si="10"/>
        <v>0</v>
      </c>
      <c r="T15" s="25">
        <f t="shared" si="11"/>
        <v>189</v>
      </c>
      <c r="U15" s="25">
        <f t="shared" si="12"/>
        <v>0</v>
      </c>
      <c r="V15" s="25">
        <f t="shared" si="13"/>
        <v>189</v>
      </c>
      <c r="W15" s="25">
        <f t="shared" si="14"/>
        <v>189</v>
      </c>
      <c r="X15" s="30">
        <f t="shared" si="15"/>
        <v>420</v>
      </c>
      <c r="Y15" s="31">
        <f t="shared" si="16"/>
        <v>1407</v>
      </c>
      <c r="Z15" s="31">
        <f t="shared" si="17"/>
        <v>420</v>
      </c>
      <c r="AA15" s="31">
        <f t="shared" si="18"/>
        <v>1407</v>
      </c>
      <c r="AB15" s="31">
        <f t="shared" si="19"/>
        <v>1407</v>
      </c>
      <c r="AC15" s="32">
        <f t="shared" si="20"/>
        <v>5061</v>
      </c>
    </row>
    <row r="16" spans="1:29" x14ac:dyDescent="0.25">
      <c r="A16" s="16" t="s">
        <v>12</v>
      </c>
      <c r="B16" s="16" t="s">
        <v>13</v>
      </c>
      <c r="C16" s="21">
        <v>25</v>
      </c>
      <c r="D16" s="22">
        <v>39</v>
      </c>
      <c r="E16" s="22">
        <v>47</v>
      </c>
      <c r="F16" s="22">
        <v>39</v>
      </c>
      <c r="G16" s="22">
        <v>47</v>
      </c>
      <c r="H16" s="22">
        <v>47</v>
      </c>
      <c r="I16" s="23">
        <f t="shared" si="7"/>
        <v>0</v>
      </c>
      <c r="J16" s="23">
        <f t="shared" si="5"/>
        <v>7</v>
      </c>
      <c r="K16" s="23">
        <f t="shared" si="5"/>
        <v>0</v>
      </c>
      <c r="L16" s="23">
        <f t="shared" si="5"/>
        <v>7</v>
      </c>
      <c r="M16" s="23">
        <f t="shared" si="5"/>
        <v>7</v>
      </c>
      <c r="N16" s="24">
        <f t="shared" si="8"/>
        <v>975</v>
      </c>
      <c r="O16" s="24">
        <f t="shared" si="9"/>
        <v>1175</v>
      </c>
      <c r="P16" s="24">
        <f t="shared" si="9"/>
        <v>975</v>
      </c>
      <c r="Q16" s="24">
        <f t="shared" si="9"/>
        <v>1175</v>
      </c>
      <c r="R16" s="24">
        <f t="shared" si="9"/>
        <v>1175</v>
      </c>
      <c r="S16" s="25">
        <f t="shared" si="10"/>
        <v>0</v>
      </c>
      <c r="T16" s="25">
        <f t="shared" si="11"/>
        <v>87.5</v>
      </c>
      <c r="U16" s="25">
        <f t="shared" si="12"/>
        <v>0</v>
      </c>
      <c r="V16" s="25">
        <f t="shared" si="13"/>
        <v>87.5</v>
      </c>
      <c r="W16" s="25">
        <f t="shared" si="14"/>
        <v>87.5</v>
      </c>
      <c r="X16" s="30">
        <f>SUM(N16+S16)</f>
        <v>975</v>
      </c>
      <c r="Y16" s="31">
        <f t="shared" si="16"/>
        <v>1262.5</v>
      </c>
      <c r="Z16" s="31">
        <f t="shared" si="17"/>
        <v>975</v>
      </c>
      <c r="AA16" s="31">
        <f t="shared" si="18"/>
        <v>1262.5</v>
      </c>
      <c r="AB16" s="31">
        <f t="shared" si="19"/>
        <v>1262.5</v>
      </c>
      <c r="AC16" s="32">
        <f t="shared" si="20"/>
        <v>5737.5</v>
      </c>
    </row>
    <row r="18" spans="1:29" s="6" customFormat="1" x14ac:dyDescent="0.25"/>
    <row r="19" spans="1:29" x14ac:dyDescent="0.25">
      <c r="A19" s="4" t="s">
        <v>14</v>
      </c>
      <c r="B19" s="3"/>
      <c r="C19" s="5">
        <f>MAX(C5:C16)</f>
        <v>235</v>
      </c>
      <c r="D19" s="5">
        <f>MAX(D5:D16)</f>
        <v>65</v>
      </c>
      <c r="E19" s="5">
        <f t="shared" ref="E19:H19" si="21">MAX(E5:E16)</f>
        <v>58</v>
      </c>
      <c r="F19" s="5">
        <f t="shared" si="21"/>
        <v>65</v>
      </c>
      <c r="G19" s="5">
        <f t="shared" si="21"/>
        <v>58</v>
      </c>
      <c r="H19" s="5">
        <f t="shared" si="21"/>
        <v>58</v>
      </c>
      <c r="I19" s="5">
        <f t="shared" ref="I19:L19" si="22">MAX(I5:I16)</f>
        <v>25</v>
      </c>
      <c r="J19" s="5">
        <f t="shared" si="22"/>
        <v>18</v>
      </c>
      <c r="K19" s="5">
        <f t="shared" si="22"/>
        <v>25</v>
      </c>
      <c r="L19" s="5">
        <f t="shared" si="22"/>
        <v>18</v>
      </c>
      <c r="M19" s="5"/>
      <c r="N19" s="5">
        <f t="shared" ref="N19:R19" si="23">MAX(N5:N16)</f>
        <v>5875</v>
      </c>
      <c r="O19" s="5">
        <f t="shared" si="23"/>
        <v>9870</v>
      </c>
      <c r="P19" s="5">
        <f t="shared" si="23"/>
        <v>5875</v>
      </c>
      <c r="Q19" s="5">
        <f t="shared" si="23"/>
        <v>9870</v>
      </c>
      <c r="R19" s="5">
        <f t="shared" si="23"/>
        <v>9870</v>
      </c>
      <c r="S19" s="5">
        <f t="shared" ref="S19:W19" si="24">MAX(S5:S16)</f>
        <v>275</v>
      </c>
      <c r="T19" s="5">
        <f t="shared" si="24"/>
        <v>235</v>
      </c>
      <c r="U19" s="5">
        <f t="shared" si="24"/>
        <v>275</v>
      </c>
      <c r="V19" s="5">
        <f t="shared" si="24"/>
        <v>235</v>
      </c>
      <c r="W19" s="5">
        <f t="shared" si="24"/>
        <v>235</v>
      </c>
      <c r="X19" s="5">
        <f t="shared" ref="X19:AC19" si="25">MAX(X5:X16)</f>
        <v>5875</v>
      </c>
      <c r="Y19" s="5">
        <f t="shared" si="25"/>
        <v>10105</v>
      </c>
      <c r="Z19" s="5">
        <f t="shared" si="25"/>
        <v>5875</v>
      </c>
      <c r="AA19" s="5">
        <f t="shared" si="25"/>
        <v>10105</v>
      </c>
      <c r="AB19" s="5">
        <f t="shared" si="25"/>
        <v>10105</v>
      </c>
      <c r="AC19" s="5">
        <f t="shared" si="25"/>
        <v>42065</v>
      </c>
    </row>
    <row r="20" spans="1:29" s="6" customFormat="1" x14ac:dyDescent="0.25">
      <c r="A20" s="7" t="s">
        <v>15</v>
      </c>
      <c r="B20" s="8"/>
      <c r="C20" s="9">
        <f>MIN(C5:C16)</f>
        <v>12</v>
      </c>
      <c r="D20" s="9">
        <f>MIN(D5:D16)</f>
        <v>20</v>
      </c>
      <c r="E20" s="9">
        <f t="shared" ref="E20:H20" si="26">MIN(E5:E16)</f>
        <v>15</v>
      </c>
      <c r="F20" s="9">
        <f t="shared" si="26"/>
        <v>20</v>
      </c>
      <c r="G20" s="9">
        <f t="shared" si="26"/>
        <v>15</v>
      </c>
      <c r="H20" s="9">
        <f t="shared" si="26"/>
        <v>15</v>
      </c>
      <c r="I20" s="9">
        <f t="shared" ref="I20:L20" si="27">MIN(I5:I16)</f>
        <v>0</v>
      </c>
      <c r="J20" s="9">
        <f t="shared" si="27"/>
        <v>0</v>
      </c>
      <c r="K20" s="9">
        <f t="shared" si="27"/>
        <v>0</v>
      </c>
      <c r="L20" s="9">
        <f t="shared" si="27"/>
        <v>0</v>
      </c>
      <c r="M20" s="9"/>
      <c r="N20" s="9">
        <f t="shared" ref="N20:R20" si="28">MIN(N5:N16)</f>
        <v>420</v>
      </c>
      <c r="O20" s="9">
        <f t="shared" si="28"/>
        <v>255</v>
      </c>
      <c r="P20" s="9">
        <f t="shared" si="28"/>
        <v>420</v>
      </c>
      <c r="Q20" s="9">
        <f t="shared" si="28"/>
        <v>255</v>
      </c>
      <c r="R20" s="9">
        <f t="shared" si="28"/>
        <v>255</v>
      </c>
      <c r="S20" s="9">
        <f t="shared" ref="S20:W20" si="29">MIN(S5:S16)</f>
        <v>0</v>
      </c>
      <c r="T20" s="9">
        <f t="shared" si="29"/>
        <v>0</v>
      </c>
      <c r="U20" s="9">
        <f t="shared" si="29"/>
        <v>0</v>
      </c>
      <c r="V20" s="9">
        <f t="shared" si="29"/>
        <v>0</v>
      </c>
      <c r="W20" s="9">
        <f t="shared" si="29"/>
        <v>0</v>
      </c>
      <c r="X20" s="9">
        <f t="shared" ref="X20:AC20" si="30">MIN(X5:X16)</f>
        <v>420</v>
      </c>
      <c r="Y20" s="9">
        <f t="shared" si="30"/>
        <v>255</v>
      </c>
      <c r="Z20" s="9">
        <f t="shared" si="30"/>
        <v>420</v>
      </c>
      <c r="AA20" s="9">
        <f t="shared" si="30"/>
        <v>255</v>
      </c>
      <c r="AB20" s="9">
        <f t="shared" si="30"/>
        <v>255</v>
      </c>
      <c r="AC20" s="9">
        <f t="shared" si="30"/>
        <v>1717</v>
      </c>
    </row>
    <row r="21" spans="1:29" s="6" customFormat="1" x14ac:dyDescent="0.25">
      <c r="A21" s="10" t="s">
        <v>16</v>
      </c>
      <c r="B21" s="11"/>
      <c r="C21" s="12">
        <f>AVERAGE(C5:C16)</f>
        <v>44.333333333333336</v>
      </c>
      <c r="D21" s="12">
        <f>AVERAGE(D5:D16)</f>
        <v>39.083333333333336</v>
      </c>
      <c r="E21" s="12">
        <f t="shared" ref="E21:H21" si="31">AVERAGE(E5:E16)</f>
        <v>39.333333333333336</v>
      </c>
      <c r="F21" s="12">
        <f t="shared" si="31"/>
        <v>39.083333333333336</v>
      </c>
      <c r="G21" s="12">
        <f t="shared" si="31"/>
        <v>39.333333333333336</v>
      </c>
      <c r="H21" s="12">
        <f t="shared" si="31"/>
        <v>39.333333333333336</v>
      </c>
      <c r="I21" s="12">
        <f t="shared" ref="I21:L21" si="32">AVERAGE(I5:I16)</f>
        <v>4.75</v>
      </c>
      <c r="J21" s="12">
        <f t="shared" si="32"/>
        <v>3.5833333333333335</v>
      </c>
      <c r="K21" s="12">
        <f t="shared" si="32"/>
        <v>4.75</v>
      </c>
      <c r="L21" s="12">
        <f t="shared" si="32"/>
        <v>3.5833333333333335</v>
      </c>
      <c r="M21" s="12"/>
      <c r="N21" s="12">
        <f t="shared" ref="N21:R21" si="33">AVERAGE(N5:N16)</f>
        <v>1496.8333333333333</v>
      </c>
      <c r="O21" s="12">
        <f t="shared" si="33"/>
        <v>1791.9166666666667</v>
      </c>
      <c r="P21" s="12">
        <f t="shared" si="33"/>
        <v>1496.8333333333333</v>
      </c>
      <c r="Q21" s="12">
        <f t="shared" si="33"/>
        <v>1791.9166666666667</v>
      </c>
      <c r="R21" s="12">
        <f t="shared" si="33"/>
        <v>1791.9166666666667</v>
      </c>
      <c r="S21" s="12">
        <f t="shared" ref="S21:W21" si="34">AVERAGE(S5:S16)</f>
        <v>57.333333333333336</v>
      </c>
      <c r="T21" s="12">
        <f t="shared" si="34"/>
        <v>54.083333333333336</v>
      </c>
      <c r="U21" s="12">
        <f t="shared" si="34"/>
        <v>57.333333333333336</v>
      </c>
      <c r="V21" s="12">
        <f t="shared" si="34"/>
        <v>54.083333333333336</v>
      </c>
      <c r="W21" s="12">
        <f t="shared" si="34"/>
        <v>54.083333333333336</v>
      </c>
      <c r="X21" s="12">
        <f t="shared" ref="X21:AC21" si="35">AVERAGE(X5:X16)</f>
        <v>1554.1666666666667</v>
      </c>
      <c r="Y21" s="12">
        <f t="shared" si="35"/>
        <v>1846</v>
      </c>
      <c r="Z21" s="12">
        <f t="shared" si="35"/>
        <v>1554.1666666666667</v>
      </c>
      <c r="AA21" s="12">
        <f t="shared" si="35"/>
        <v>1846</v>
      </c>
      <c r="AB21" s="12">
        <f t="shared" si="35"/>
        <v>1846</v>
      </c>
      <c r="AC21" s="12">
        <f t="shared" si="35"/>
        <v>8646.3333333333339</v>
      </c>
    </row>
    <row r="22" spans="1:29" s="6" customFormat="1" x14ac:dyDescent="0.25">
      <c r="A22" s="13" t="s">
        <v>17</v>
      </c>
      <c r="B22" s="14"/>
      <c r="C22" s="15">
        <f>SUM(C5:C16)</f>
        <v>532</v>
      </c>
      <c r="D22" s="15">
        <f t="shared" ref="D22:W22" si="36">SUM(D5:D16)</f>
        <v>469</v>
      </c>
      <c r="E22" s="15">
        <f t="shared" si="36"/>
        <v>472</v>
      </c>
      <c r="F22" s="15">
        <f>SUM(F5:F16)</f>
        <v>469</v>
      </c>
      <c r="G22" s="15">
        <f t="shared" si="36"/>
        <v>472</v>
      </c>
      <c r="H22" s="15">
        <f t="shared" si="36"/>
        <v>472</v>
      </c>
      <c r="I22" s="15">
        <f t="shared" si="36"/>
        <v>57</v>
      </c>
      <c r="J22" s="15">
        <f t="shared" si="36"/>
        <v>43</v>
      </c>
      <c r="K22" s="15">
        <f t="shared" si="36"/>
        <v>57</v>
      </c>
      <c r="L22" s="15">
        <f t="shared" si="36"/>
        <v>43</v>
      </c>
      <c r="M22" s="15">
        <f t="shared" si="36"/>
        <v>43</v>
      </c>
      <c r="N22" s="15">
        <f t="shared" si="36"/>
        <v>17962</v>
      </c>
      <c r="O22" s="15">
        <f t="shared" si="36"/>
        <v>21503</v>
      </c>
      <c r="P22" s="15">
        <f t="shared" si="36"/>
        <v>17962</v>
      </c>
      <c r="Q22" s="15">
        <f t="shared" si="36"/>
        <v>21503</v>
      </c>
      <c r="R22" s="15">
        <f t="shared" si="36"/>
        <v>21503</v>
      </c>
      <c r="S22" s="15">
        <f t="shared" si="36"/>
        <v>688</v>
      </c>
      <c r="T22" s="15">
        <f t="shared" si="36"/>
        <v>649</v>
      </c>
      <c r="U22" s="15">
        <f t="shared" si="36"/>
        <v>688</v>
      </c>
      <c r="V22" s="15">
        <f t="shared" si="36"/>
        <v>649</v>
      </c>
      <c r="W22" s="15">
        <f t="shared" si="36"/>
        <v>649</v>
      </c>
      <c r="X22" s="15">
        <f t="shared" ref="X22:AC22" si="37">SUM(X5:X16)</f>
        <v>18650</v>
      </c>
      <c r="Y22" s="15">
        <f t="shared" si="37"/>
        <v>22152</v>
      </c>
      <c r="Z22" s="15">
        <f t="shared" si="37"/>
        <v>18650</v>
      </c>
      <c r="AA22" s="15">
        <f t="shared" si="37"/>
        <v>22152</v>
      </c>
      <c r="AB22" s="15">
        <f t="shared" si="37"/>
        <v>22152</v>
      </c>
      <c r="AC22" s="15">
        <f t="shared" si="37"/>
        <v>103756</v>
      </c>
    </row>
    <row r="27" spans="1:29" x14ac:dyDescent="0.25">
      <c r="B27" t="s">
        <v>23</v>
      </c>
    </row>
    <row r="28" spans="1:29" x14ac:dyDescent="0.25">
      <c r="B28" t="s">
        <v>24</v>
      </c>
    </row>
    <row r="29" spans="1:29" x14ac:dyDescent="0.25">
      <c r="B29" t="s">
        <v>25</v>
      </c>
    </row>
  </sheetData>
  <mergeCells count="7">
    <mergeCell ref="A1:W1"/>
    <mergeCell ref="I3:M3"/>
    <mergeCell ref="X3:AB3"/>
    <mergeCell ref="D3:H3"/>
    <mergeCell ref="N3:R3"/>
    <mergeCell ref="S3:W3"/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31828-2EBC-4E39-8E7B-E16667D4CCB3}">
  <dimension ref="A1:V22"/>
  <sheetViews>
    <sheetView zoomScale="85" zoomScaleNormal="85" workbookViewId="0">
      <selection activeCell="Y8" sqref="Y8"/>
    </sheetView>
  </sheetViews>
  <sheetFormatPr defaultRowHeight="15" x14ac:dyDescent="0.25"/>
  <cols>
    <col min="3" max="3" width="5.42578125" customWidth="1"/>
    <col min="4" max="4" width="5.5703125" customWidth="1"/>
    <col min="5" max="5" width="5.7109375" customWidth="1"/>
    <col min="6" max="6" width="5.42578125" customWidth="1"/>
    <col min="7" max="7" width="6.28515625" customWidth="1"/>
  </cols>
  <sheetData>
    <row r="1" spans="1:13" ht="98.25" x14ac:dyDescent="0.25">
      <c r="A1" t="s">
        <v>28</v>
      </c>
      <c r="C1" s="33" t="s">
        <v>29</v>
      </c>
      <c r="D1" s="33" t="s">
        <v>30</v>
      </c>
      <c r="E1" s="33" t="s">
        <v>32</v>
      </c>
      <c r="F1" s="33" t="s">
        <v>31</v>
      </c>
      <c r="G1" s="33"/>
      <c r="H1" s="33" t="s">
        <v>29</v>
      </c>
      <c r="I1" s="33" t="s">
        <v>30</v>
      </c>
      <c r="J1" s="33" t="s">
        <v>32</v>
      </c>
      <c r="K1" s="33" t="s">
        <v>31</v>
      </c>
      <c r="M1" s="33" t="s">
        <v>34</v>
      </c>
    </row>
    <row r="2" spans="1:13" x14ac:dyDescent="0.25">
      <c r="B2" t="s">
        <v>33</v>
      </c>
      <c r="C2">
        <v>10</v>
      </c>
      <c r="D2">
        <v>20</v>
      </c>
      <c r="E2">
        <v>100</v>
      </c>
      <c r="F2">
        <v>1</v>
      </c>
    </row>
    <row r="3" spans="1:13" x14ac:dyDescent="0.25">
      <c r="A3" t="s">
        <v>26</v>
      </c>
      <c r="B3" t="s">
        <v>27</v>
      </c>
    </row>
    <row r="4" spans="1:13" x14ac:dyDescent="0.25">
      <c r="A4" s="16" t="s">
        <v>6</v>
      </c>
      <c r="B4" s="16" t="s">
        <v>7</v>
      </c>
      <c r="C4">
        <v>10</v>
      </c>
      <c r="D4">
        <v>19</v>
      </c>
      <c r="E4">
        <v>93</v>
      </c>
      <c r="F4">
        <v>1</v>
      </c>
      <c r="H4" s="34">
        <f>C4/C$2</f>
        <v>1</v>
      </c>
      <c r="I4" s="34">
        <f t="shared" ref="I4:J4" si="0">D4/D$2</f>
        <v>0.95</v>
      </c>
      <c r="J4" s="34">
        <f t="shared" si="0"/>
        <v>0.93</v>
      </c>
      <c r="K4" s="34">
        <f>F4/F$2</f>
        <v>1</v>
      </c>
      <c r="M4" s="34" t="b">
        <f>OR(H4&lt;0.5, I4&lt;0.5, J4&lt;0.5, K4&lt;0.5)</f>
        <v>0</v>
      </c>
    </row>
    <row r="5" spans="1:13" x14ac:dyDescent="0.25">
      <c r="A5" s="16" t="s">
        <v>8</v>
      </c>
      <c r="B5" s="17" t="s">
        <v>9</v>
      </c>
      <c r="C5">
        <v>9</v>
      </c>
      <c r="D5">
        <v>17</v>
      </c>
      <c r="E5">
        <v>100</v>
      </c>
      <c r="F5">
        <v>1</v>
      </c>
      <c r="H5" s="34">
        <f t="shared" ref="H5:H15" si="1">C5/C$2</f>
        <v>0.9</v>
      </c>
      <c r="I5" s="34">
        <f t="shared" ref="I5:I15" si="2">D5/D$2</f>
        <v>0.85</v>
      </c>
      <c r="J5" s="34">
        <f t="shared" ref="J5:J15" si="3">E5/E$2</f>
        <v>1</v>
      </c>
      <c r="K5" s="34">
        <f t="shared" ref="K5:K15" si="4">F5/F$2</f>
        <v>1</v>
      </c>
      <c r="M5" s="34" t="b">
        <f t="shared" ref="M5:M15" si="5">OR(H5&lt;0.5, I5&lt;0.5, J5&lt;0.5, K5&lt;0.5)</f>
        <v>0</v>
      </c>
    </row>
    <row r="6" spans="1:13" x14ac:dyDescent="0.25">
      <c r="A6" s="16" t="s">
        <v>10</v>
      </c>
      <c r="B6" s="16" t="s">
        <v>11</v>
      </c>
      <c r="C6">
        <v>8</v>
      </c>
      <c r="D6">
        <v>20</v>
      </c>
      <c r="E6">
        <v>50</v>
      </c>
      <c r="F6">
        <v>1</v>
      </c>
      <c r="H6" s="34">
        <f t="shared" si="1"/>
        <v>0.8</v>
      </c>
      <c r="I6" s="34">
        <f t="shared" si="2"/>
        <v>1</v>
      </c>
      <c r="J6" s="34">
        <f t="shared" si="3"/>
        <v>0.5</v>
      </c>
      <c r="K6" s="34">
        <f t="shared" si="4"/>
        <v>1</v>
      </c>
      <c r="M6" s="34" t="b">
        <f t="shared" si="5"/>
        <v>0</v>
      </c>
    </row>
    <row r="7" spans="1:13" x14ac:dyDescent="0.25">
      <c r="A7" s="16" t="s">
        <v>12</v>
      </c>
      <c r="B7" s="16" t="s">
        <v>13</v>
      </c>
      <c r="C7">
        <v>5</v>
      </c>
      <c r="D7">
        <v>20</v>
      </c>
      <c r="E7">
        <v>80</v>
      </c>
      <c r="F7">
        <v>1</v>
      </c>
      <c r="H7" s="34">
        <f t="shared" si="1"/>
        <v>0.5</v>
      </c>
      <c r="I7" s="34">
        <f t="shared" si="2"/>
        <v>1</v>
      </c>
      <c r="J7" s="34">
        <f t="shared" si="3"/>
        <v>0.8</v>
      </c>
      <c r="K7" s="34">
        <f t="shared" si="4"/>
        <v>1</v>
      </c>
      <c r="M7" s="34" t="b">
        <f t="shared" si="5"/>
        <v>0</v>
      </c>
    </row>
    <row r="8" spans="1:13" x14ac:dyDescent="0.25">
      <c r="A8" s="16" t="s">
        <v>6</v>
      </c>
      <c r="B8" s="16" t="s">
        <v>7</v>
      </c>
      <c r="C8">
        <v>7</v>
      </c>
      <c r="D8">
        <v>10</v>
      </c>
      <c r="E8">
        <v>70</v>
      </c>
      <c r="F8">
        <v>1</v>
      </c>
      <c r="H8" s="34">
        <f t="shared" si="1"/>
        <v>0.7</v>
      </c>
      <c r="I8" s="34">
        <f t="shared" si="2"/>
        <v>0.5</v>
      </c>
      <c r="J8" s="34">
        <f>E8/E$2</f>
        <v>0.7</v>
      </c>
      <c r="K8" s="34">
        <f t="shared" si="4"/>
        <v>1</v>
      </c>
      <c r="M8" s="34" t="b">
        <f t="shared" si="5"/>
        <v>0</v>
      </c>
    </row>
    <row r="9" spans="1:13" x14ac:dyDescent="0.25">
      <c r="A9" s="16" t="s">
        <v>8</v>
      </c>
      <c r="B9" s="17" t="s">
        <v>9</v>
      </c>
      <c r="C9">
        <v>5</v>
      </c>
      <c r="D9">
        <v>15</v>
      </c>
      <c r="E9">
        <v>80</v>
      </c>
      <c r="F9">
        <v>0</v>
      </c>
      <c r="H9" s="34">
        <f t="shared" si="1"/>
        <v>0.5</v>
      </c>
      <c r="I9" s="34">
        <f t="shared" si="2"/>
        <v>0.75</v>
      </c>
      <c r="J9" s="34">
        <f t="shared" si="3"/>
        <v>0.8</v>
      </c>
      <c r="K9" s="34">
        <f t="shared" si="4"/>
        <v>0</v>
      </c>
      <c r="M9" s="34" t="b">
        <f t="shared" si="5"/>
        <v>1</v>
      </c>
    </row>
    <row r="10" spans="1:13" x14ac:dyDescent="0.25">
      <c r="A10" s="16" t="s">
        <v>10</v>
      </c>
      <c r="B10" s="16" t="s">
        <v>11</v>
      </c>
      <c r="C10">
        <v>8</v>
      </c>
      <c r="D10">
        <v>18</v>
      </c>
      <c r="E10">
        <v>90</v>
      </c>
      <c r="F10">
        <v>1</v>
      </c>
      <c r="H10" s="34">
        <f t="shared" si="1"/>
        <v>0.8</v>
      </c>
      <c r="I10" s="34">
        <f t="shared" si="2"/>
        <v>0.9</v>
      </c>
      <c r="J10" s="34">
        <f t="shared" si="3"/>
        <v>0.9</v>
      </c>
      <c r="K10" s="34">
        <f t="shared" si="4"/>
        <v>1</v>
      </c>
      <c r="M10" s="34" t="b">
        <f t="shared" si="5"/>
        <v>0</v>
      </c>
    </row>
    <row r="11" spans="1:13" x14ac:dyDescent="0.25">
      <c r="A11" s="16" t="s">
        <v>12</v>
      </c>
      <c r="B11" s="16" t="s">
        <v>13</v>
      </c>
      <c r="C11">
        <v>9</v>
      </c>
      <c r="D11">
        <v>19</v>
      </c>
      <c r="E11">
        <v>95</v>
      </c>
      <c r="F11">
        <v>1</v>
      </c>
      <c r="H11" s="34">
        <f t="shared" si="1"/>
        <v>0.9</v>
      </c>
      <c r="I11" s="34">
        <f t="shared" si="2"/>
        <v>0.95</v>
      </c>
      <c r="J11" s="34">
        <f t="shared" si="3"/>
        <v>0.95</v>
      </c>
      <c r="K11" s="34">
        <f t="shared" si="4"/>
        <v>1</v>
      </c>
      <c r="M11" s="34" t="b">
        <f t="shared" si="5"/>
        <v>0</v>
      </c>
    </row>
    <row r="12" spans="1:13" x14ac:dyDescent="0.25">
      <c r="A12" s="16" t="s">
        <v>6</v>
      </c>
      <c r="B12" s="16" t="s">
        <v>7</v>
      </c>
      <c r="C12">
        <v>10</v>
      </c>
      <c r="D12">
        <v>17</v>
      </c>
      <c r="E12">
        <v>10</v>
      </c>
      <c r="F12">
        <v>0</v>
      </c>
      <c r="H12" s="34">
        <f t="shared" si="1"/>
        <v>1</v>
      </c>
      <c r="I12" s="34">
        <f t="shared" si="2"/>
        <v>0.85</v>
      </c>
      <c r="J12" s="34">
        <f t="shared" si="3"/>
        <v>0.1</v>
      </c>
      <c r="K12" s="34">
        <f t="shared" si="4"/>
        <v>0</v>
      </c>
      <c r="M12" s="34" t="b">
        <f t="shared" si="5"/>
        <v>1</v>
      </c>
    </row>
    <row r="13" spans="1:13" x14ac:dyDescent="0.25">
      <c r="A13" s="16" t="s">
        <v>8</v>
      </c>
      <c r="B13" s="17" t="s">
        <v>9</v>
      </c>
      <c r="C13">
        <v>5</v>
      </c>
      <c r="D13">
        <v>12</v>
      </c>
      <c r="E13">
        <v>50</v>
      </c>
      <c r="F13">
        <v>1</v>
      </c>
      <c r="H13" s="34">
        <f t="shared" si="1"/>
        <v>0.5</v>
      </c>
      <c r="I13" s="34">
        <f t="shared" si="2"/>
        <v>0.6</v>
      </c>
      <c r="J13" s="34">
        <f t="shared" si="3"/>
        <v>0.5</v>
      </c>
      <c r="K13" s="34">
        <f t="shared" si="4"/>
        <v>1</v>
      </c>
      <c r="M13" s="34" t="b">
        <f t="shared" si="5"/>
        <v>0</v>
      </c>
    </row>
    <row r="14" spans="1:13" x14ac:dyDescent="0.25">
      <c r="A14" s="16" t="s">
        <v>10</v>
      </c>
      <c r="B14" s="16" t="s">
        <v>11</v>
      </c>
      <c r="C14">
        <v>2</v>
      </c>
      <c r="D14">
        <v>10</v>
      </c>
      <c r="E14">
        <v>20</v>
      </c>
      <c r="F14">
        <v>1</v>
      </c>
      <c r="H14" s="34">
        <f t="shared" si="1"/>
        <v>0.2</v>
      </c>
      <c r="I14" s="34">
        <f t="shared" si="2"/>
        <v>0.5</v>
      </c>
      <c r="J14" s="34">
        <f t="shared" si="3"/>
        <v>0.2</v>
      </c>
      <c r="K14" s="34">
        <f t="shared" si="4"/>
        <v>1</v>
      </c>
      <c r="M14" s="34" t="b">
        <f t="shared" si="5"/>
        <v>1</v>
      </c>
    </row>
    <row r="15" spans="1:13" x14ac:dyDescent="0.25">
      <c r="A15" s="16" t="s">
        <v>12</v>
      </c>
      <c r="B15" s="16" t="s">
        <v>13</v>
      </c>
      <c r="C15">
        <v>1</v>
      </c>
      <c r="D15">
        <v>8</v>
      </c>
      <c r="E15">
        <v>40</v>
      </c>
      <c r="F15">
        <v>1</v>
      </c>
      <c r="H15" s="34">
        <f t="shared" si="1"/>
        <v>0.1</v>
      </c>
      <c r="I15" s="34">
        <f t="shared" si="2"/>
        <v>0.4</v>
      </c>
      <c r="J15" s="34">
        <f t="shared" si="3"/>
        <v>0.4</v>
      </c>
      <c r="K15" s="34">
        <f t="shared" si="4"/>
        <v>1</v>
      </c>
      <c r="M15" s="34" t="b">
        <f t="shared" si="5"/>
        <v>1</v>
      </c>
    </row>
    <row r="18" spans="1:22" x14ac:dyDescent="0.25">
      <c r="A18" s="35" t="s">
        <v>14</v>
      </c>
      <c r="C18">
        <f>MAX(C4:C15)</f>
        <v>10</v>
      </c>
      <c r="D18">
        <f t="shared" ref="D18:F18" si="6">MAX(D4:D15)</f>
        <v>20</v>
      </c>
      <c r="E18">
        <f t="shared" si="6"/>
        <v>100</v>
      </c>
      <c r="F18">
        <f t="shared" si="6"/>
        <v>1</v>
      </c>
      <c r="H18">
        <f>MAX(H4:H15)</f>
        <v>1</v>
      </c>
      <c r="I18">
        <f t="shared" ref="I18:K18" si="7">MAX(I4:I15)</f>
        <v>1</v>
      </c>
      <c r="J18">
        <f t="shared" si="7"/>
        <v>1</v>
      </c>
      <c r="K18">
        <f t="shared" si="7"/>
        <v>1</v>
      </c>
      <c r="R18" t="s">
        <v>36</v>
      </c>
    </row>
    <row r="19" spans="1:22" x14ac:dyDescent="0.25">
      <c r="A19" s="35" t="s">
        <v>15</v>
      </c>
      <c r="C19">
        <f>MIN(C4:C15)</f>
        <v>1</v>
      </c>
      <c r="D19">
        <f t="shared" ref="D19:F19" si="8">MIN(D4:D15)</f>
        <v>8</v>
      </c>
      <c r="E19">
        <f t="shared" si="8"/>
        <v>10</v>
      </c>
      <c r="F19">
        <f t="shared" si="8"/>
        <v>0</v>
      </c>
      <c r="H19">
        <f>MIN(H4:H15)</f>
        <v>0.1</v>
      </c>
      <c r="I19">
        <f t="shared" ref="I19:K19" si="9">MIN(I4:I15)</f>
        <v>0.4</v>
      </c>
      <c r="J19">
        <f t="shared" si="9"/>
        <v>0.1</v>
      </c>
      <c r="K19">
        <f t="shared" si="9"/>
        <v>0</v>
      </c>
    </row>
    <row r="20" spans="1:22" x14ac:dyDescent="0.25">
      <c r="A20" s="35" t="s">
        <v>16</v>
      </c>
      <c r="C20">
        <f>AVERAGE(C4:C15)</f>
        <v>6.583333333333333</v>
      </c>
      <c r="D20">
        <f t="shared" ref="D20:F20" si="10">AVERAGE(D4:D15)</f>
        <v>15.416666666666666</v>
      </c>
      <c r="E20">
        <f t="shared" si="10"/>
        <v>64.833333333333329</v>
      </c>
      <c r="F20">
        <f t="shared" si="10"/>
        <v>0.83333333333333337</v>
      </c>
      <c r="H20">
        <f>AVERAGE(H4:H15)</f>
        <v>0.65833333333333333</v>
      </c>
      <c r="I20">
        <f t="shared" ref="I20:K20" si="11">AVERAGE(I4:I15)</f>
        <v>0.77083333333333337</v>
      </c>
      <c r="J20">
        <f t="shared" si="11"/>
        <v>0.64833333333333343</v>
      </c>
      <c r="K20">
        <f t="shared" si="11"/>
        <v>0.83333333333333337</v>
      </c>
    </row>
    <row r="22" spans="1:22" x14ac:dyDescent="0.25">
      <c r="V22" t="s">
        <v>35</v>
      </c>
    </row>
  </sheetData>
  <conditionalFormatting sqref="C4:C15">
    <cfRule type="iconSet" priority="6">
      <iconSet>
        <cfvo type="percent" val="0"/>
        <cfvo type="percent" val="33"/>
        <cfvo type="percent" val="67"/>
      </iconSet>
    </cfRule>
  </conditionalFormatting>
  <conditionalFormatting sqref="D4:D16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15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15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15 M4:M15">
    <cfRule type="cellIs" dxfId="2" priority="2" operator="lessThan">
      <formula>0.5</formula>
    </cfRule>
  </conditionalFormatting>
  <conditionalFormatting sqref="M4:M15">
    <cfRule type="cellIs" dxfId="1" priority="1" operator="equal">
      <formula>TRUE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8491-ED9E-4200-8481-B7D4469A928F}">
  <dimension ref="A1:L10"/>
  <sheetViews>
    <sheetView zoomScale="145" zoomScaleNormal="145" workbookViewId="0">
      <selection activeCell="C7" sqref="C7"/>
    </sheetView>
  </sheetViews>
  <sheetFormatPr defaultRowHeight="15" x14ac:dyDescent="0.25"/>
  <cols>
    <col min="1" max="1" width="19.5703125" customWidth="1"/>
  </cols>
  <sheetData>
    <row r="1" spans="1:12" x14ac:dyDescent="0.25">
      <c r="A1" t="s">
        <v>37</v>
      </c>
    </row>
    <row r="5" spans="1:12" x14ac:dyDescent="0.25">
      <c r="A5" t="s">
        <v>38</v>
      </c>
      <c r="B5" s="36" t="s">
        <v>5</v>
      </c>
      <c r="C5" s="36">
        <v>3</v>
      </c>
      <c r="D5" s="37" t="s">
        <v>44</v>
      </c>
      <c r="E5" s="37">
        <v>5</v>
      </c>
      <c r="F5" s="38" t="s">
        <v>45</v>
      </c>
      <c r="G5" s="38">
        <v>4</v>
      </c>
      <c r="H5" s="39" t="s">
        <v>46</v>
      </c>
      <c r="I5" s="39">
        <v>6</v>
      </c>
      <c r="J5" s="2" t="s">
        <v>47</v>
      </c>
      <c r="K5" s="2">
        <v>1</v>
      </c>
      <c r="L5" t="s">
        <v>17</v>
      </c>
    </row>
    <row r="6" spans="1:12" x14ac:dyDescent="0.25">
      <c r="A6" t="s">
        <v>39</v>
      </c>
      <c r="B6" s="36">
        <v>1</v>
      </c>
      <c r="C6" s="36">
        <f>C$5*B6</f>
        <v>3</v>
      </c>
      <c r="D6" s="37">
        <v>5</v>
      </c>
      <c r="E6" s="37">
        <f>E$5*D6</f>
        <v>25</v>
      </c>
      <c r="F6" s="38">
        <v>1</v>
      </c>
      <c r="G6" s="38">
        <f>G$5*F6</f>
        <v>4</v>
      </c>
      <c r="H6" s="39">
        <v>4</v>
      </c>
      <c r="I6" s="39">
        <f>I$5*H6</f>
        <v>24</v>
      </c>
      <c r="J6" s="2">
        <v>5</v>
      </c>
      <c r="K6" s="2">
        <f>K$5*J6</f>
        <v>5</v>
      </c>
      <c r="L6">
        <f>C6+E6+G6+I6+K6</f>
        <v>61</v>
      </c>
    </row>
    <row r="7" spans="1:12" x14ac:dyDescent="0.25">
      <c r="A7" t="s">
        <v>40</v>
      </c>
      <c r="B7" s="36">
        <v>4</v>
      </c>
      <c r="C7" s="36">
        <f t="shared" ref="C7:E10" si="0">C$5*B7</f>
        <v>12</v>
      </c>
      <c r="D7" s="37">
        <v>4</v>
      </c>
      <c r="E7" s="37">
        <f t="shared" si="0"/>
        <v>20</v>
      </c>
      <c r="F7" s="38">
        <v>3</v>
      </c>
      <c r="G7" s="38">
        <f t="shared" ref="G7" si="1">G$5*F7</f>
        <v>12</v>
      </c>
      <c r="H7" s="39">
        <v>2</v>
      </c>
      <c r="I7" s="39">
        <f t="shared" ref="I7" si="2">I$5*H7</f>
        <v>12</v>
      </c>
      <c r="J7" s="2">
        <v>1</v>
      </c>
      <c r="K7" s="2">
        <f t="shared" ref="K7" si="3">K$5*J7</f>
        <v>1</v>
      </c>
      <c r="L7">
        <f t="shared" ref="L7:L10" si="4">C7+E7+G7+I7+K7</f>
        <v>57</v>
      </c>
    </row>
    <row r="8" spans="1:12" x14ac:dyDescent="0.25">
      <c r="A8" t="s">
        <v>41</v>
      </c>
      <c r="B8" s="36">
        <v>5</v>
      </c>
      <c r="C8" s="36">
        <f t="shared" si="0"/>
        <v>15</v>
      </c>
      <c r="D8" s="37">
        <v>1</v>
      </c>
      <c r="E8" s="37">
        <f t="shared" si="0"/>
        <v>5</v>
      </c>
      <c r="F8" s="38">
        <v>5</v>
      </c>
      <c r="G8" s="38">
        <f t="shared" ref="G8" si="5">G$5*F8</f>
        <v>20</v>
      </c>
      <c r="H8" s="39">
        <v>3</v>
      </c>
      <c r="I8" s="39">
        <f t="shared" ref="I8" si="6">I$5*H8</f>
        <v>18</v>
      </c>
      <c r="J8" s="2">
        <v>3</v>
      </c>
      <c r="K8" s="2">
        <f t="shared" ref="K8" si="7">K$5*J8</f>
        <v>3</v>
      </c>
      <c r="L8">
        <f t="shared" si="4"/>
        <v>61</v>
      </c>
    </row>
    <row r="9" spans="1:12" x14ac:dyDescent="0.25">
      <c r="A9" t="s">
        <v>42</v>
      </c>
      <c r="B9" s="36">
        <v>3</v>
      </c>
      <c r="C9" s="36">
        <f t="shared" si="0"/>
        <v>9</v>
      </c>
      <c r="D9" s="37">
        <v>5</v>
      </c>
      <c r="E9" s="37">
        <f t="shared" si="0"/>
        <v>25</v>
      </c>
      <c r="F9" s="38">
        <v>4</v>
      </c>
      <c r="G9" s="38">
        <f t="shared" ref="G9" si="8">G$5*F9</f>
        <v>16</v>
      </c>
      <c r="H9" s="39">
        <v>4</v>
      </c>
      <c r="I9" s="39">
        <f t="shared" ref="I9" si="9">I$5*H9</f>
        <v>24</v>
      </c>
      <c r="J9" s="2">
        <v>3</v>
      </c>
      <c r="K9" s="2">
        <f t="shared" ref="K9" si="10">K$5*J9</f>
        <v>3</v>
      </c>
      <c r="L9">
        <f t="shared" si="4"/>
        <v>77</v>
      </c>
    </row>
    <row r="10" spans="1:12" x14ac:dyDescent="0.25">
      <c r="A10" t="s">
        <v>43</v>
      </c>
      <c r="B10" s="36">
        <v>3</v>
      </c>
      <c r="C10" s="36">
        <f t="shared" si="0"/>
        <v>9</v>
      </c>
      <c r="D10" s="37">
        <v>5</v>
      </c>
      <c r="E10" s="37">
        <f t="shared" si="0"/>
        <v>25</v>
      </c>
      <c r="F10" s="38">
        <v>2</v>
      </c>
      <c r="G10" s="38">
        <f t="shared" ref="G10" si="11">G$5*F10</f>
        <v>8</v>
      </c>
      <c r="H10" s="39">
        <v>2</v>
      </c>
      <c r="I10" s="39">
        <f t="shared" ref="I10" si="12">I$5*H10</f>
        <v>12</v>
      </c>
      <c r="J10" s="2">
        <v>5</v>
      </c>
      <c r="K10" s="2">
        <f t="shared" ref="K10" si="13">K$5*J10</f>
        <v>5</v>
      </c>
      <c r="L10">
        <f t="shared" si="4"/>
        <v>59</v>
      </c>
    </row>
  </sheetData>
  <conditionalFormatting sqref="L6:L10">
    <cfRule type="cellIs" dxfId="0" priority="1" operator="lessThan">
      <formula>67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823C3-61FD-4550-9B51-6DDEC347FFE8}">
  <sheetPr filterMode="1"/>
  <dimension ref="A1:K26"/>
  <sheetViews>
    <sheetView topLeftCell="D8" zoomScale="85" zoomScaleNormal="85" workbookViewId="0">
      <selection activeCell="G27" sqref="G27"/>
    </sheetView>
  </sheetViews>
  <sheetFormatPr defaultRowHeight="15" x14ac:dyDescent="0.25"/>
  <cols>
    <col min="3" max="3" width="17.140625" customWidth="1"/>
    <col min="4" max="4" width="15.28515625" customWidth="1"/>
    <col min="5" max="5" width="15.28515625" style="41" customWidth="1"/>
    <col min="6" max="6" width="12.140625" style="41" customWidth="1"/>
    <col min="7" max="7" width="10.5703125" style="41" bestFit="1" customWidth="1"/>
  </cols>
  <sheetData>
    <row r="1" spans="1:11" ht="120" x14ac:dyDescent="0.25">
      <c r="A1" t="s">
        <v>48</v>
      </c>
      <c r="B1" s="1" t="s">
        <v>49</v>
      </c>
      <c r="C1" s="1" t="s">
        <v>50</v>
      </c>
      <c r="D1" s="1" t="s">
        <v>51</v>
      </c>
      <c r="E1" s="40" t="s">
        <v>52</v>
      </c>
      <c r="F1" s="40" t="s">
        <v>53</v>
      </c>
      <c r="G1" s="40" t="s">
        <v>54</v>
      </c>
      <c r="H1" s="1" t="s">
        <v>64</v>
      </c>
      <c r="I1" s="1" t="s">
        <v>55</v>
      </c>
      <c r="J1" s="1"/>
      <c r="K1" s="1" t="s">
        <v>56</v>
      </c>
    </row>
    <row r="2" spans="1:11" x14ac:dyDescent="0.25">
      <c r="A2" t="s">
        <v>57</v>
      </c>
      <c r="B2">
        <v>1001</v>
      </c>
      <c r="C2">
        <v>9822</v>
      </c>
      <c r="D2" t="s">
        <v>59</v>
      </c>
      <c r="E2" s="41">
        <v>58</v>
      </c>
      <c r="F2" s="41">
        <v>95</v>
      </c>
      <c r="G2" s="41">
        <f t="shared" ref="G2:G22" si="0">F2-E2</f>
        <v>37</v>
      </c>
      <c r="H2">
        <f t="shared" ref="H2:H22" si="1">IF(F2&gt;50, G2*0.2, G2*0.1)</f>
        <v>7.4</v>
      </c>
      <c r="I2" t="s">
        <v>63</v>
      </c>
      <c r="K2" t="s">
        <v>63</v>
      </c>
    </row>
    <row r="3" spans="1:11" x14ac:dyDescent="0.25">
      <c r="A3" t="s">
        <v>57</v>
      </c>
      <c r="B3">
        <v>1002</v>
      </c>
      <c r="C3">
        <v>9822</v>
      </c>
      <c r="D3" t="s">
        <v>61</v>
      </c>
      <c r="E3" s="41">
        <v>11</v>
      </c>
      <c r="F3" s="41">
        <v>21</v>
      </c>
      <c r="G3" s="41">
        <f t="shared" si="0"/>
        <v>10</v>
      </c>
      <c r="H3">
        <f t="shared" si="1"/>
        <v>1</v>
      </c>
      <c r="I3" t="s">
        <v>63</v>
      </c>
      <c r="K3" t="s">
        <v>63</v>
      </c>
    </row>
    <row r="4" spans="1:11" hidden="1" x14ac:dyDescent="0.25">
      <c r="A4" t="s">
        <v>57</v>
      </c>
      <c r="B4">
        <v>1006</v>
      </c>
      <c r="C4">
        <v>9822</v>
      </c>
      <c r="D4" t="s">
        <v>61</v>
      </c>
      <c r="E4" s="41">
        <v>58</v>
      </c>
      <c r="F4" s="41">
        <v>59</v>
      </c>
      <c r="G4" s="41">
        <f t="shared" si="0"/>
        <v>1</v>
      </c>
      <c r="H4">
        <f t="shared" si="1"/>
        <v>0.2</v>
      </c>
      <c r="I4" t="s">
        <v>63</v>
      </c>
      <c r="K4" t="s">
        <v>63</v>
      </c>
    </row>
    <row r="5" spans="1:11" x14ac:dyDescent="0.25">
      <c r="A5" t="s">
        <v>57</v>
      </c>
      <c r="B5">
        <v>1010</v>
      </c>
      <c r="C5">
        <v>9822</v>
      </c>
      <c r="D5" t="s">
        <v>61</v>
      </c>
      <c r="E5" s="41">
        <v>11</v>
      </c>
      <c r="F5" s="41">
        <v>1212</v>
      </c>
      <c r="G5" s="41">
        <f t="shared" si="0"/>
        <v>1201</v>
      </c>
      <c r="H5">
        <f t="shared" si="1"/>
        <v>240.20000000000002</v>
      </c>
      <c r="I5" t="s">
        <v>63</v>
      </c>
      <c r="K5" t="s">
        <v>63</v>
      </c>
    </row>
    <row r="6" spans="1:11" x14ac:dyDescent="0.25">
      <c r="A6" t="s">
        <v>58</v>
      </c>
      <c r="B6">
        <v>1014</v>
      </c>
      <c r="C6">
        <v>9822</v>
      </c>
      <c r="D6" t="s">
        <v>61</v>
      </c>
      <c r="E6" s="41">
        <v>11</v>
      </c>
      <c r="F6" s="41">
        <v>200</v>
      </c>
      <c r="G6" s="41">
        <f t="shared" si="0"/>
        <v>189</v>
      </c>
      <c r="H6">
        <f t="shared" si="1"/>
        <v>37.800000000000004</v>
      </c>
      <c r="I6" t="s">
        <v>63</v>
      </c>
      <c r="K6" t="s">
        <v>63</v>
      </c>
    </row>
    <row r="7" spans="1:11" x14ac:dyDescent="0.25">
      <c r="A7" t="s">
        <v>58</v>
      </c>
      <c r="B7">
        <v>1018</v>
      </c>
      <c r="C7">
        <v>9822</v>
      </c>
      <c r="D7" t="s">
        <v>61</v>
      </c>
      <c r="E7" s="41">
        <v>54</v>
      </c>
      <c r="F7" s="41">
        <v>100</v>
      </c>
      <c r="G7" s="41">
        <f t="shared" si="0"/>
        <v>46</v>
      </c>
      <c r="H7">
        <f t="shared" si="1"/>
        <v>9.2000000000000011</v>
      </c>
      <c r="I7" t="s">
        <v>63</v>
      </c>
      <c r="K7" t="s">
        <v>63</v>
      </c>
    </row>
    <row r="8" spans="1:11" x14ac:dyDescent="0.25">
      <c r="A8" t="s">
        <v>57</v>
      </c>
      <c r="B8">
        <v>1004</v>
      </c>
      <c r="C8">
        <v>9822</v>
      </c>
      <c r="D8" t="s">
        <v>62</v>
      </c>
      <c r="E8" s="41">
        <v>344</v>
      </c>
      <c r="F8" s="41">
        <v>450</v>
      </c>
      <c r="G8" s="41">
        <f t="shared" si="0"/>
        <v>106</v>
      </c>
      <c r="H8">
        <f t="shared" si="1"/>
        <v>21.200000000000003</v>
      </c>
      <c r="I8" t="s">
        <v>63</v>
      </c>
      <c r="K8" t="s">
        <v>63</v>
      </c>
    </row>
    <row r="9" spans="1:11" x14ac:dyDescent="0.25">
      <c r="A9" t="s">
        <v>57</v>
      </c>
      <c r="B9">
        <v>1008</v>
      </c>
      <c r="C9">
        <v>9822</v>
      </c>
      <c r="D9" t="s">
        <v>62</v>
      </c>
      <c r="E9" s="41">
        <v>11</v>
      </c>
      <c r="F9" s="41">
        <v>12</v>
      </c>
      <c r="G9" s="41">
        <f t="shared" si="0"/>
        <v>1</v>
      </c>
      <c r="H9">
        <f t="shared" si="1"/>
        <v>0.1</v>
      </c>
      <c r="I9" t="s">
        <v>63</v>
      </c>
      <c r="K9" t="s">
        <v>63</v>
      </c>
    </row>
    <row r="10" spans="1:11" x14ac:dyDescent="0.25">
      <c r="A10" t="s">
        <v>58</v>
      </c>
      <c r="B10">
        <v>1012</v>
      </c>
      <c r="C10">
        <v>9822</v>
      </c>
      <c r="D10" t="s">
        <v>62</v>
      </c>
      <c r="E10" s="41">
        <v>54</v>
      </c>
      <c r="F10" s="41">
        <v>22</v>
      </c>
      <c r="G10" s="41">
        <f t="shared" si="0"/>
        <v>-32</v>
      </c>
      <c r="H10">
        <f t="shared" si="1"/>
        <v>-3.2</v>
      </c>
      <c r="I10" t="s">
        <v>63</v>
      </c>
      <c r="K10" t="s">
        <v>63</v>
      </c>
    </row>
    <row r="11" spans="1:11" x14ac:dyDescent="0.25">
      <c r="A11" t="s">
        <v>58</v>
      </c>
      <c r="B11">
        <v>1016</v>
      </c>
      <c r="C11">
        <v>9822</v>
      </c>
      <c r="D11" t="s">
        <v>62</v>
      </c>
      <c r="E11" s="41">
        <v>6</v>
      </c>
      <c r="F11" s="41">
        <v>45</v>
      </c>
      <c r="G11" s="41">
        <f t="shared" si="0"/>
        <v>39</v>
      </c>
      <c r="H11">
        <f t="shared" si="1"/>
        <v>3.9000000000000004</v>
      </c>
      <c r="I11" t="s">
        <v>63</v>
      </c>
      <c r="K11" t="s">
        <v>63</v>
      </c>
    </row>
    <row r="12" spans="1:11" x14ac:dyDescent="0.25">
      <c r="A12" t="s">
        <v>58</v>
      </c>
      <c r="B12">
        <v>1020</v>
      </c>
      <c r="C12">
        <v>9822</v>
      </c>
      <c r="D12" t="s">
        <v>62</v>
      </c>
      <c r="E12" s="41">
        <v>12</v>
      </c>
      <c r="F12" s="41">
        <v>1223</v>
      </c>
      <c r="G12" s="41">
        <f t="shared" si="0"/>
        <v>1211</v>
      </c>
      <c r="H12">
        <f t="shared" si="1"/>
        <v>242.20000000000002</v>
      </c>
      <c r="I12" t="s">
        <v>63</v>
      </c>
      <c r="K12" t="s">
        <v>63</v>
      </c>
    </row>
    <row r="13" spans="1:11" x14ac:dyDescent="0.25">
      <c r="A13" t="s">
        <v>57</v>
      </c>
      <c r="B13">
        <v>1005</v>
      </c>
      <c r="C13">
        <v>9822</v>
      </c>
      <c r="D13" t="s">
        <v>59</v>
      </c>
      <c r="E13" s="41">
        <v>3</v>
      </c>
      <c r="F13" s="41">
        <v>512</v>
      </c>
      <c r="G13" s="41">
        <f t="shared" si="0"/>
        <v>509</v>
      </c>
      <c r="H13">
        <f t="shared" si="1"/>
        <v>101.80000000000001</v>
      </c>
      <c r="I13" t="s">
        <v>63</v>
      </c>
      <c r="K13" t="s">
        <v>63</v>
      </c>
    </row>
    <row r="14" spans="1:11" x14ac:dyDescent="0.25">
      <c r="A14" t="s">
        <v>57</v>
      </c>
      <c r="B14">
        <v>1009</v>
      </c>
      <c r="C14">
        <v>9822</v>
      </c>
      <c r="D14" t="s">
        <v>59</v>
      </c>
      <c r="E14" s="41">
        <v>3</v>
      </c>
      <c r="F14" s="41">
        <v>10</v>
      </c>
      <c r="G14" s="41">
        <f t="shared" si="0"/>
        <v>7</v>
      </c>
      <c r="H14">
        <f t="shared" si="1"/>
        <v>0.70000000000000007</v>
      </c>
      <c r="I14" t="s">
        <v>63</v>
      </c>
      <c r="K14" t="s">
        <v>63</v>
      </c>
    </row>
    <row r="15" spans="1:11" x14ac:dyDescent="0.25">
      <c r="A15" t="s">
        <v>58</v>
      </c>
      <c r="B15">
        <v>1013</v>
      </c>
      <c r="C15">
        <v>9822</v>
      </c>
      <c r="D15" t="s">
        <v>59</v>
      </c>
      <c r="E15" s="41">
        <v>344</v>
      </c>
      <c r="F15" s="41">
        <v>450</v>
      </c>
      <c r="G15" s="41">
        <f t="shared" si="0"/>
        <v>106</v>
      </c>
      <c r="H15">
        <f t="shared" si="1"/>
        <v>21.200000000000003</v>
      </c>
      <c r="I15" t="s">
        <v>63</v>
      </c>
      <c r="K15" t="s">
        <v>63</v>
      </c>
    </row>
    <row r="16" spans="1:11" x14ac:dyDescent="0.25">
      <c r="A16" t="s">
        <v>58</v>
      </c>
      <c r="B16">
        <v>1017</v>
      </c>
      <c r="C16">
        <v>9822</v>
      </c>
      <c r="D16" t="s">
        <v>59</v>
      </c>
      <c r="E16" s="41">
        <v>0</v>
      </c>
      <c r="F16" s="41">
        <v>54</v>
      </c>
      <c r="G16" s="41">
        <f t="shared" si="0"/>
        <v>54</v>
      </c>
      <c r="H16">
        <f t="shared" si="1"/>
        <v>10.8</v>
      </c>
      <c r="I16" t="s">
        <v>63</v>
      </c>
      <c r="K16" t="s">
        <v>63</v>
      </c>
    </row>
    <row r="17" spans="1:11" x14ac:dyDescent="0.25">
      <c r="A17" t="s">
        <v>58</v>
      </c>
      <c r="B17">
        <v>1021</v>
      </c>
      <c r="C17">
        <v>9822</v>
      </c>
      <c r="D17" t="s">
        <v>59</v>
      </c>
      <c r="E17" s="41">
        <v>5</v>
      </c>
      <c r="F17" s="41">
        <v>545</v>
      </c>
      <c r="G17" s="41">
        <f t="shared" si="0"/>
        <v>540</v>
      </c>
      <c r="H17">
        <f t="shared" si="1"/>
        <v>108</v>
      </c>
      <c r="I17" t="s">
        <v>63</v>
      </c>
      <c r="K17" t="s">
        <v>63</v>
      </c>
    </row>
    <row r="18" spans="1:11" x14ac:dyDescent="0.25">
      <c r="A18" t="s">
        <v>57</v>
      </c>
      <c r="B18">
        <v>1003</v>
      </c>
      <c r="C18">
        <v>9822</v>
      </c>
      <c r="D18" t="s">
        <v>60</v>
      </c>
      <c r="E18" s="41">
        <v>6</v>
      </c>
      <c r="F18" s="41">
        <v>1245</v>
      </c>
      <c r="G18" s="41">
        <f t="shared" si="0"/>
        <v>1239</v>
      </c>
      <c r="H18">
        <f t="shared" si="1"/>
        <v>247.8</v>
      </c>
      <c r="I18" t="s">
        <v>63</v>
      </c>
      <c r="K18" t="s">
        <v>63</v>
      </c>
    </row>
    <row r="19" spans="1:11" x14ac:dyDescent="0.25">
      <c r="A19" t="s">
        <v>57</v>
      </c>
      <c r="B19">
        <v>1007</v>
      </c>
      <c r="C19">
        <v>9822</v>
      </c>
      <c r="D19" t="s">
        <v>60</v>
      </c>
      <c r="E19" s="41">
        <v>3</v>
      </c>
      <c r="F19" s="41">
        <v>54</v>
      </c>
      <c r="G19" s="41">
        <f t="shared" si="0"/>
        <v>51</v>
      </c>
      <c r="H19">
        <f t="shared" si="1"/>
        <v>10.200000000000001</v>
      </c>
      <c r="I19" t="s">
        <v>63</v>
      </c>
      <c r="K19" t="s">
        <v>63</v>
      </c>
    </row>
    <row r="20" spans="1:11" x14ac:dyDescent="0.25">
      <c r="A20" t="s">
        <v>58</v>
      </c>
      <c r="B20">
        <v>1011</v>
      </c>
      <c r="C20">
        <v>9822</v>
      </c>
      <c r="D20" t="s">
        <v>60</v>
      </c>
      <c r="E20" s="41">
        <v>11</v>
      </c>
      <c r="F20" s="41">
        <v>50</v>
      </c>
      <c r="G20" s="41">
        <f t="shared" si="0"/>
        <v>39</v>
      </c>
      <c r="H20">
        <f t="shared" si="1"/>
        <v>3.9000000000000004</v>
      </c>
      <c r="I20" t="s">
        <v>63</v>
      </c>
      <c r="K20" t="s">
        <v>63</v>
      </c>
    </row>
    <row r="21" spans="1:11" x14ac:dyDescent="0.25">
      <c r="A21" t="s">
        <v>58</v>
      </c>
      <c r="B21">
        <v>1015</v>
      </c>
      <c r="C21">
        <v>9822</v>
      </c>
      <c r="D21" t="s">
        <v>60</v>
      </c>
      <c r="E21" s="41">
        <v>6</v>
      </c>
      <c r="F21" s="41">
        <v>21</v>
      </c>
      <c r="G21" s="41">
        <f t="shared" si="0"/>
        <v>15</v>
      </c>
      <c r="H21">
        <f t="shared" si="1"/>
        <v>1.5</v>
      </c>
      <c r="I21" t="s">
        <v>63</v>
      </c>
      <c r="K21" t="s">
        <v>63</v>
      </c>
    </row>
    <row r="22" spans="1:11" x14ac:dyDescent="0.25">
      <c r="A22" t="s">
        <v>58</v>
      </c>
      <c r="B22">
        <v>1019</v>
      </c>
      <c r="C22">
        <v>9822</v>
      </c>
      <c r="D22" t="s">
        <v>60</v>
      </c>
      <c r="E22" s="41">
        <v>12</v>
      </c>
      <c r="F22" s="41">
        <v>21</v>
      </c>
      <c r="G22" s="41">
        <f t="shared" si="0"/>
        <v>9</v>
      </c>
      <c r="H22">
        <f t="shared" si="1"/>
        <v>0.9</v>
      </c>
      <c r="I22" t="s">
        <v>63</v>
      </c>
      <c r="K22" t="s">
        <v>63</v>
      </c>
    </row>
    <row r="24" spans="1:11" x14ac:dyDescent="0.25">
      <c r="B24" t="s">
        <v>65</v>
      </c>
      <c r="F24" s="41">
        <f>SUM(F2:F22)</f>
        <v>6401</v>
      </c>
    </row>
    <row r="25" spans="1:11" x14ac:dyDescent="0.25">
      <c r="B25" t="s">
        <v>66</v>
      </c>
      <c r="F25" s="41">
        <f>SUMIF(F2:F22,"&gt;50")</f>
        <v>6199</v>
      </c>
    </row>
    <row r="26" spans="1:11" x14ac:dyDescent="0.25">
      <c r="B26" t="s">
        <v>67</v>
      </c>
      <c r="F26" s="41">
        <f>SUMIF(F2:F22, "&lt;50")</f>
        <v>152</v>
      </c>
    </row>
  </sheetData>
  <autoFilter ref="A2:I22" xr:uid="{A9A823C3-61FD-4550-9B51-6DDEC347FFE8}">
    <filterColumn colId="1">
      <filters>
        <filter val="1002"/>
        <filter val="1003"/>
        <filter val="1004"/>
        <filter val="1005"/>
        <filter val="1007"/>
        <filter val="1008"/>
        <filter val="1009"/>
        <filter val="1010"/>
        <filter val="1011"/>
        <filter val="1012"/>
        <filter val="1013"/>
        <filter val="1014"/>
        <filter val="1015"/>
        <filter val="1016"/>
        <filter val="1017"/>
        <filter val="1018"/>
        <filter val="1019"/>
        <filter val="1020"/>
        <filter val="1021"/>
      </filters>
    </filterColumn>
    <sortState xmlns:xlrd2="http://schemas.microsoft.com/office/spreadsheetml/2017/richdata2" ref="A3:I22">
      <sortCondition ref="D3:D22"/>
    </sortState>
  </autoFilter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F2C5E-D291-43E1-A8A6-3E6FEC5852A2}">
  <dimension ref="A1:E16"/>
  <sheetViews>
    <sheetView tabSelected="1" topLeftCell="B1" workbookViewId="0">
      <selection activeCell="I3" sqref="I3"/>
    </sheetView>
  </sheetViews>
  <sheetFormatPr defaultRowHeight="15" x14ac:dyDescent="0.25"/>
  <sheetData>
    <row r="1" spans="1:5" x14ac:dyDescent="0.25">
      <c r="A1" t="s">
        <v>68</v>
      </c>
    </row>
    <row r="2" spans="1:5" x14ac:dyDescent="0.25">
      <c r="B2">
        <v>15</v>
      </c>
    </row>
    <row r="3" spans="1:5" x14ac:dyDescent="0.25">
      <c r="B3">
        <v>27</v>
      </c>
      <c r="D3" s="42" t="s">
        <v>72</v>
      </c>
      <c r="E3" s="42" t="s">
        <v>77</v>
      </c>
    </row>
    <row r="4" spans="1:5" x14ac:dyDescent="0.25">
      <c r="B4">
        <v>42</v>
      </c>
      <c r="D4" t="s">
        <v>73</v>
      </c>
      <c r="E4">
        <v>330</v>
      </c>
    </row>
    <row r="5" spans="1:5" x14ac:dyDescent="0.25">
      <c r="B5">
        <v>93</v>
      </c>
      <c r="D5" t="s">
        <v>74</v>
      </c>
      <c r="E5">
        <v>430</v>
      </c>
    </row>
    <row r="6" spans="1:5" x14ac:dyDescent="0.25">
      <c r="B6">
        <v>56</v>
      </c>
      <c r="D6" t="s">
        <v>75</v>
      </c>
      <c r="E6">
        <v>270</v>
      </c>
    </row>
    <row r="7" spans="1:5" x14ac:dyDescent="0.25">
      <c r="B7">
        <v>84</v>
      </c>
      <c r="D7" t="s">
        <v>76</v>
      </c>
      <c r="E7">
        <v>370</v>
      </c>
    </row>
    <row r="8" spans="1:5" x14ac:dyDescent="0.25">
      <c r="B8">
        <v>75</v>
      </c>
      <c r="D8" t="s">
        <v>73</v>
      </c>
      <c r="E8">
        <v>360</v>
      </c>
    </row>
    <row r="9" spans="1:5" x14ac:dyDescent="0.25">
      <c r="B9">
        <v>33</v>
      </c>
      <c r="D9" t="s">
        <v>76</v>
      </c>
      <c r="E9">
        <v>450</v>
      </c>
    </row>
    <row r="10" spans="1:5" x14ac:dyDescent="0.25">
      <c r="B10">
        <v>49</v>
      </c>
      <c r="D10" t="s">
        <v>75</v>
      </c>
      <c r="E10">
        <v>350</v>
      </c>
    </row>
    <row r="11" spans="1:5" x14ac:dyDescent="0.25">
      <c r="B11">
        <f>AVERAGE(B2:B10)</f>
        <v>52.666666666666664</v>
      </c>
      <c r="D11" t="s">
        <v>76</v>
      </c>
      <c r="E11">
        <v>250</v>
      </c>
    </row>
    <row r="13" spans="1:5" x14ac:dyDescent="0.25">
      <c r="A13" t="s">
        <v>69</v>
      </c>
      <c r="B13">
        <f>AVERAGE(100, 150, 200)</f>
        <v>150</v>
      </c>
      <c r="D13" t="s">
        <v>72</v>
      </c>
      <c r="E13" t="s">
        <v>78</v>
      </c>
    </row>
    <row r="14" spans="1:5" x14ac:dyDescent="0.25">
      <c r="D14" t="s">
        <v>73</v>
      </c>
      <c r="E14">
        <f>SUMIF(D4:D11,D14,E4:E11)</f>
        <v>690</v>
      </c>
    </row>
    <row r="15" spans="1:5" x14ac:dyDescent="0.25">
      <c r="A15" t="s">
        <v>70</v>
      </c>
      <c r="B15">
        <f>SUM(B2:B10)</f>
        <v>474</v>
      </c>
    </row>
    <row r="16" spans="1:5" x14ac:dyDescent="0.25">
      <c r="A16" t="s">
        <v>71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157A-E7F6-4436-A4C2-F46EE5E69A0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 Payroll</vt:lpstr>
      <vt:lpstr>Gradebook</vt:lpstr>
      <vt:lpstr>Dicision Factors</vt:lpstr>
      <vt:lpstr>Sales Database</vt:lpstr>
      <vt:lpstr>Car Inventory</vt:lpstr>
      <vt:lpstr>Problem Solving 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Hasan's Internet Zone (HIZ)</dc:creator>
  <cp:lastModifiedBy>Windows User</cp:lastModifiedBy>
  <dcterms:created xsi:type="dcterms:W3CDTF">2015-06-05T18:17:20Z</dcterms:created>
  <dcterms:modified xsi:type="dcterms:W3CDTF">2022-05-16T07:41:39Z</dcterms:modified>
</cp:coreProperties>
</file>